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filterPrivacy="1"/>
  <xr:revisionPtr revIDLastSave="0" documentId="13_ncr:1_{BF65713D-1A52-4F50-A802-6AFF9D4DDB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119" i="1" l="1"/>
  <c r="DK59" i="1"/>
  <c r="DK88" i="1"/>
  <c r="DK105" i="1"/>
  <c r="DK120" i="1"/>
  <c r="DK53" i="1"/>
  <c r="DK57" i="1"/>
  <c r="DK58" i="1"/>
  <c r="DK60" i="1"/>
  <c r="DK70" i="1"/>
  <c r="DK73" i="1"/>
  <c r="DK90" i="1"/>
  <c r="DK91" i="1"/>
  <c r="DK92" i="1"/>
  <c r="DK99" i="1"/>
  <c r="DK100" i="1"/>
  <c r="DK106" i="1"/>
  <c r="DK107" i="1"/>
  <c r="DK108" i="1"/>
  <c r="DK122" i="1"/>
  <c r="DK124" i="1"/>
  <c r="DK36" i="1"/>
  <c r="DK42" i="1"/>
  <c r="DK19" i="1"/>
  <c r="DK20" i="1"/>
  <c r="DK22" i="1"/>
  <c r="DK23" i="1"/>
  <c r="DK8" i="1"/>
  <c r="DK4" i="1"/>
  <c r="DK5" i="1"/>
  <c r="DK3" i="1"/>
  <c r="DK123" i="1"/>
  <c r="DK121" i="1"/>
  <c r="DK118" i="1"/>
  <c r="DK117" i="1"/>
  <c r="DK104" i="1"/>
  <c r="DK103" i="1"/>
  <c r="DK102" i="1"/>
  <c r="DK101" i="1"/>
  <c r="DK87" i="1"/>
  <c r="DK86" i="1"/>
  <c r="DK85" i="1"/>
  <c r="DK71" i="1"/>
  <c r="DK69" i="1"/>
  <c r="DK56" i="1"/>
  <c r="DK55" i="1"/>
  <c r="DK54" i="1"/>
  <c r="DK39" i="1"/>
  <c r="DK37" i="1"/>
  <c r="DK35" i="1"/>
  <c r="DK9" i="1"/>
  <c r="DK7" i="1"/>
  <c r="CS16" i="1"/>
  <c r="CS32" i="1"/>
  <c r="CS48" i="1"/>
  <c r="CS64" i="1"/>
  <c r="DB124" i="1"/>
  <c r="DB123" i="1"/>
  <c r="DB122" i="1"/>
  <c r="DB121" i="1"/>
  <c r="DB120" i="1"/>
  <c r="DB119" i="1"/>
  <c r="DB118" i="1"/>
  <c r="DB117" i="1"/>
  <c r="DB116" i="1"/>
  <c r="DB115" i="1"/>
  <c r="DB108" i="1"/>
  <c r="DB107" i="1"/>
  <c r="DB106" i="1"/>
  <c r="DB105" i="1"/>
  <c r="DB104" i="1"/>
  <c r="DB103" i="1"/>
  <c r="DB102" i="1"/>
  <c r="DB101" i="1"/>
  <c r="DB100" i="1"/>
  <c r="DB99" i="1"/>
  <c r="DB92" i="1"/>
  <c r="DB91" i="1"/>
  <c r="DB90" i="1"/>
  <c r="DB89" i="1"/>
  <c r="DB88" i="1"/>
  <c r="DB87" i="1"/>
  <c r="DB86" i="1"/>
  <c r="DB85" i="1"/>
  <c r="DB84" i="1"/>
  <c r="DB83" i="1"/>
  <c r="DB76" i="1"/>
  <c r="DB75" i="1"/>
  <c r="DB74" i="1"/>
  <c r="DB73" i="1"/>
  <c r="DB72" i="1"/>
  <c r="DB71" i="1"/>
  <c r="DB70" i="1"/>
  <c r="DB69" i="1"/>
  <c r="DB68" i="1"/>
  <c r="DB67" i="1"/>
  <c r="DB60" i="1"/>
  <c r="DB59" i="1"/>
  <c r="DB58" i="1"/>
  <c r="DB57" i="1"/>
  <c r="DB56" i="1"/>
  <c r="DB55" i="1"/>
  <c r="DB54" i="1"/>
  <c r="DB53" i="1"/>
  <c r="DB52" i="1"/>
  <c r="DB51" i="1"/>
  <c r="DB44" i="1"/>
  <c r="DB43" i="1"/>
  <c r="DB42" i="1"/>
  <c r="DB41" i="1"/>
  <c r="DB40" i="1"/>
  <c r="DB39" i="1"/>
  <c r="DB38" i="1"/>
  <c r="DB37" i="1"/>
  <c r="DB36" i="1"/>
  <c r="DB35" i="1"/>
  <c r="DB28" i="1"/>
  <c r="DB27" i="1"/>
  <c r="DB26" i="1"/>
  <c r="DB25" i="1"/>
  <c r="DB24" i="1"/>
  <c r="DB23" i="1"/>
  <c r="DB22" i="1"/>
  <c r="DB21" i="1"/>
  <c r="DB20" i="1"/>
  <c r="DB19" i="1"/>
  <c r="DB12" i="1"/>
  <c r="DB11" i="1"/>
  <c r="DB10" i="1"/>
  <c r="DB9" i="1"/>
  <c r="DB8" i="1"/>
  <c r="DB7" i="1"/>
  <c r="DB6" i="1"/>
  <c r="DB5" i="1"/>
  <c r="DB4" i="1"/>
  <c r="DB3" i="1"/>
  <c r="CS63" i="1"/>
  <c r="CS62" i="1"/>
  <c r="CS61" i="1"/>
  <c r="CS60" i="1"/>
  <c r="CS59" i="1"/>
  <c r="CS58" i="1"/>
  <c r="CS57" i="1"/>
  <c r="CS56" i="1"/>
  <c r="CS55" i="1"/>
  <c r="CS54" i="1"/>
  <c r="CS53" i="1"/>
  <c r="CS52" i="1"/>
  <c r="CS51" i="1"/>
  <c r="CS47" i="1"/>
  <c r="CS46" i="1"/>
  <c r="CS45" i="1"/>
  <c r="CS44" i="1"/>
  <c r="CS43" i="1"/>
  <c r="CS42" i="1"/>
  <c r="CS41" i="1"/>
  <c r="CS40" i="1"/>
  <c r="CS39" i="1"/>
  <c r="CS38" i="1"/>
  <c r="CS37" i="1"/>
  <c r="CS36" i="1"/>
  <c r="CS35" i="1"/>
  <c r="CS31" i="1"/>
  <c r="CS30" i="1"/>
  <c r="CS29" i="1"/>
  <c r="CS28" i="1"/>
  <c r="CS27" i="1"/>
  <c r="CS26" i="1"/>
  <c r="CS25" i="1"/>
  <c r="CS24" i="1"/>
  <c r="CS23" i="1"/>
  <c r="CS22" i="1"/>
  <c r="CS21" i="1"/>
  <c r="CS20" i="1"/>
  <c r="CS19" i="1"/>
  <c r="CS6" i="1"/>
  <c r="CS5" i="1"/>
  <c r="CS4" i="1"/>
  <c r="CS3" i="1"/>
  <c r="CJ44" i="1"/>
  <c r="BR59" i="1"/>
  <c r="CA3" i="1"/>
  <c r="CJ47" i="1"/>
  <c r="CJ46" i="1"/>
  <c r="CJ45" i="1"/>
  <c r="CJ43" i="1"/>
  <c r="CJ42" i="1"/>
  <c r="CJ41" i="1"/>
  <c r="CJ40" i="1"/>
  <c r="CJ39" i="1"/>
  <c r="CJ38" i="1"/>
  <c r="CJ37" i="1"/>
  <c r="CJ36" i="1"/>
  <c r="CJ35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5" i="1"/>
  <c r="CJ14" i="1"/>
  <c r="CJ13" i="1"/>
  <c r="CJ12" i="1"/>
  <c r="CJ11" i="1"/>
  <c r="CJ10" i="1"/>
  <c r="CJ9" i="1"/>
  <c r="CJ8" i="1"/>
  <c r="CJ7" i="1"/>
  <c r="CJ6" i="1"/>
  <c r="CJ5" i="1"/>
  <c r="CJ4" i="1"/>
  <c r="CJ3" i="1"/>
  <c r="CA63" i="1"/>
  <c r="CA62" i="1"/>
  <c r="CA61" i="1"/>
  <c r="CA60" i="1"/>
  <c r="CA59" i="1"/>
  <c r="CA58" i="1"/>
  <c r="CA57" i="1"/>
  <c r="CA56" i="1"/>
  <c r="CA55" i="1"/>
  <c r="CA54" i="1"/>
  <c r="CA53" i="1"/>
  <c r="CA52" i="1"/>
  <c r="CA51" i="1"/>
  <c r="CA47" i="1"/>
  <c r="CA46" i="1"/>
  <c r="CA45" i="1"/>
  <c r="CA44" i="1"/>
  <c r="CA43" i="1"/>
  <c r="CA42" i="1"/>
  <c r="CA41" i="1"/>
  <c r="CA40" i="1"/>
  <c r="CA39" i="1"/>
  <c r="CA38" i="1"/>
  <c r="CA37" i="1"/>
  <c r="CA36" i="1"/>
  <c r="CA35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5" i="1"/>
  <c r="CA14" i="1"/>
  <c r="CA13" i="1"/>
  <c r="CA12" i="1"/>
  <c r="CA11" i="1"/>
  <c r="CA10" i="1"/>
  <c r="CA9" i="1"/>
  <c r="CA8" i="1"/>
  <c r="CA7" i="1"/>
  <c r="CA6" i="1"/>
  <c r="CA5" i="1"/>
  <c r="CA4" i="1"/>
  <c r="BR4" i="1"/>
  <c r="BR5" i="1"/>
  <c r="BR6" i="1"/>
  <c r="BR7" i="1"/>
  <c r="BR8" i="1"/>
  <c r="BR9" i="1"/>
  <c r="BR10" i="1"/>
  <c r="BR11" i="1"/>
  <c r="BR12" i="1"/>
  <c r="BR13" i="1"/>
  <c r="BR14" i="1"/>
  <c r="BR15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51" i="1"/>
  <c r="BR52" i="1"/>
  <c r="BR53" i="1"/>
  <c r="BR54" i="1"/>
  <c r="BR55" i="1"/>
  <c r="BR56" i="1"/>
  <c r="BR57" i="1"/>
  <c r="BR58" i="1"/>
  <c r="BR60" i="1"/>
  <c r="BR61" i="1"/>
  <c r="BR62" i="1"/>
  <c r="BR63" i="1"/>
  <c r="BR3" i="1"/>
  <c r="BI3" i="1"/>
  <c r="DK84" i="1" l="1"/>
  <c r="DK43" i="1"/>
  <c r="DK89" i="1"/>
  <c r="DK41" i="1"/>
  <c r="DK40" i="1"/>
  <c r="DK6" i="1"/>
  <c r="DK38" i="1"/>
  <c r="DK12" i="1"/>
  <c r="DK21" i="1"/>
  <c r="DK52" i="1"/>
  <c r="DK51" i="1"/>
  <c r="DK68" i="1"/>
  <c r="DK115" i="1"/>
  <c r="DK74" i="1"/>
  <c r="DK72" i="1"/>
  <c r="DK75" i="1"/>
  <c r="DK116" i="1"/>
  <c r="DK76" i="1"/>
  <c r="DK83" i="1"/>
  <c r="DK67" i="1"/>
  <c r="DK44" i="1"/>
  <c r="DK28" i="1"/>
  <c r="DK27" i="1"/>
  <c r="DK26" i="1"/>
  <c r="DK25" i="1"/>
  <c r="DK24" i="1"/>
  <c r="DK11" i="1"/>
  <c r="DK10" i="1"/>
  <c r="BI58" i="1"/>
  <c r="BI14" i="1"/>
  <c r="BI4" i="1"/>
  <c r="BI5" i="1"/>
  <c r="BI6" i="1"/>
  <c r="BI7" i="1"/>
  <c r="BI8" i="1"/>
  <c r="BI9" i="1"/>
  <c r="BI10" i="1"/>
  <c r="BI11" i="1"/>
  <c r="BI12" i="1"/>
  <c r="BI13" i="1"/>
  <c r="BI15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51" i="1"/>
  <c r="BI52" i="1"/>
  <c r="BI53" i="1"/>
  <c r="BI54" i="1"/>
  <c r="BI55" i="1"/>
  <c r="BI56" i="1"/>
  <c r="BI57" i="1"/>
  <c r="BI59" i="1"/>
  <c r="BI60" i="1"/>
  <c r="BI61" i="1"/>
  <c r="BI62" i="1"/>
  <c r="BI63" i="1"/>
  <c r="AZ3" i="1"/>
  <c r="AZ43" i="1"/>
  <c r="AZ38" i="1"/>
  <c r="AZ20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47" i="1"/>
  <c r="AZ46" i="1"/>
  <c r="AZ45" i="1"/>
  <c r="AZ44" i="1"/>
  <c r="AZ42" i="1"/>
  <c r="AZ41" i="1"/>
  <c r="AZ40" i="1"/>
  <c r="AZ39" i="1"/>
  <c r="AZ37" i="1"/>
  <c r="AZ36" i="1"/>
  <c r="AZ35" i="1"/>
  <c r="AZ31" i="1"/>
  <c r="AZ30" i="1"/>
  <c r="AZ29" i="1"/>
  <c r="AZ28" i="1"/>
  <c r="AZ27" i="1"/>
  <c r="AZ26" i="1"/>
  <c r="AZ25" i="1"/>
  <c r="AZ24" i="1"/>
  <c r="AZ23" i="1"/>
  <c r="AZ22" i="1"/>
  <c r="AZ21" i="1"/>
  <c r="AZ19" i="1"/>
  <c r="AZ15" i="1"/>
  <c r="AZ14" i="1"/>
  <c r="AZ13" i="1"/>
  <c r="AZ12" i="1"/>
  <c r="AZ11" i="1"/>
  <c r="AZ10" i="1"/>
  <c r="AZ9" i="1"/>
  <c r="AZ8" i="1"/>
  <c r="AZ7" i="1"/>
  <c r="AZ6" i="1"/>
  <c r="AZ5" i="1"/>
  <c r="AZ4" i="1"/>
  <c r="AQ61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3" i="1"/>
  <c r="AQ62" i="1"/>
  <c r="AQ60" i="1"/>
  <c r="AQ59" i="1"/>
  <c r="AQ58" i="1"/>
  <c r="AQ57" i="1"/>
  <c r="AQ56" i="1"/>
  <c r="AQ55" i="1"/>
  <c r="AQ54" i="1"/>
  <c r="AQ53" i="1"/>
  <c r="AQ52" i="1"/>
  <c r="AQ51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4" i="1"/>
  <c r="AQ5" i="1"/>
  <c r="AQ6" i="1"/>
  <c r="AQ7" i="1"/>
  <c r="AQ8" i="1"/>
  <c r="AQ9" i="1"/>
  <c r="AQ10" i="1"/>
  <c r="AQ11" i="1"/>
  <c r="AQ12" i="1"/>
  <c r="AQ13" i="1"/>
  <c r="AQ14" i="1"/>
  <c r="AQ15" i="1"/>
  <c r="AQ3" i="1"/>
  <c r="AH15" i="1"/>
  <c r="AH4" i="1"/>
  <c r="AH5" i="1"/>
  <c r="AH6" i="1"/>
  <c r="AH7" i="1"/>
  <c r="AH8" i="1"/>
  <c r="AH9" i="1"/>
  <c r="AH10" i="1"/>
  <c r="AH11" i="1"/>
  <c r="AH16" i="1"/>
  <c r="AH17" i="1"/>
  <c r="AH18" i="1"/>
  <c r="AH19" i="1"/>
  <c r="AH20" i="1"/>
  <c r="AH21" i="1"/>
  <c r="AH22" i="1"/>
  <c r="AH23" i="1"/>
  <c r="AH27" i="1"/>
  <c r="AH28" i="1"/>
  <c r="AH29" i="1"/>
  <c r="AH30" i="1"/>
  <c r="AH31" i="1"/>
  <c r="AH32" i="1"/>
  <c r="AH33" i="1"/>
  <c r="AH34" i="1"/>
  <c r="AH35" i="1"/>
  <c r="AH39" i="1"/>
  <c r="AH40" i="1"/>
  <c r="AH41" i="1"/>
  <c r="AH42" i="1"/>
  <c r="AH43" i="1"/>
  <c r="AH44" i="1"/>
  <c r="AH45" i="1"/>
  <c r="AH46" i="1"/>
  <c r="AH47" i="1"/>
  <c r="AH51" i="1"/>
  <c r="AH52" i="1"/>
  <c r="AH53" i="1"/>
  <c r="AH54" i="1"/>
  <c r="AH55" i="1"/>
  <c r="AH56" i="1"/>
  <c r="AH57" i="1"/>
  <c r="AH58" i="1"/>
  <c r="AH59" i="1"/>
  <c r="AH3" i="1"/>
  <c r="Y3" i="1"/>
  <c r="P41" i="1"/>
  <c r="P4" i="1"/>
  <c r="P5" i="1"/>
  <c r="P6" i="1"/>
  <c r="P7" i="1"/>
  <c r="P8" i="1"/>
  <c r="P9" i="1"/>
  <c r="P10" i="1"/>
  <c r="P11" i="1"/>
  <c r="P12" i="1"/>
  <c r="P15" i="1"/>
  <c r="P16" i="1"/>
  <c r="P17" i="1"/>
  <c r="P18" i="1"/>
  <c r="P19" i="1"/>
  <c r="P20" i="1"/>
  <c r="P21" i="1"/>
  <c r="P22" i="1"/>
  <c r="P23" i="1"/>
  <c r="P24" i="1"/>
  <c r="P27" i="1"/>
  <c r="P28" i="1"/>
  <c r="P29" i="1"/>
  <c r="P30" i="1"/>
  <c r="P31" i="1"/>
  <c r="P32" i="1"/>
  <c r="P33" i="1"/>
  <c r="P34" i="1"/>
  <c r="P35" i="1"/>
  <c r="P36" i="1"/>
  <c r="P39" i="1"/>
  <c r="P40" i="1"/>
  <c r="P42" i="1"/>
  <c r="P43" i="1"/>
  <c r="P44" i="1"/>
  <c r="P45" i="1"/>
  <c r="P46" i="1"/>
  <c r="P47" i="1"/>
  <c r="P48" i="1"/>
  <c r="P51" i="1"/>
  <c r="P52" i="1"/>
  <c r="P53" i="1"/>
  <c r="P54" i="1"/>
  <c r="P55" i="1"/>
  <c r="P56" i="1"/>
  <c r="P57" i="1"/>
  <c r="P58" i="1"/>
  <c r="P59" i="1"/>
  <c r="P60" i="1"/>
  <c r="Y4" i="1"/>
  <c r="Y5" i="1"/>
  <c r="Y6" i="1"/>
  <c r="Y7" i="1"/>
  <c r="Y8" i="1"/>
  <c r="Y9" i="1"/>
  <c r="Y10" i="1"/>
  <c r="Y11" i="1"/>
  <c r="Y15" i="1"/>
  <c r="Y16" i="1"/>
  <c r="Y17" i="1"/>
  <c r="Y18" i="1"/>
  <c r="Y19" i="1"/>
  <c r="Y20" i="1"/>
  <c r="Y21" i="1"/>
  <c r="Y22" i="1"/>
  <c r="Y23" i="1"/>
  <c r="Y27" i="1"/>
  <c r="Y28" i="1"/>
  <c r="Y29" i="1"/>
  <c r="Y30" i="1"/>
  <c r="Y31" i="1"/>
  <c r="Y32" i="1"/>
  <c r="Y33" i="1"/>
  <c r="Y34" i="1"/>
  <c r="Y35" i="1"/>
  <c r="Y39" i="1"/>
  <c r="Y40" i="1"/>
  <c r="Y41" i="1"/>
  <c r="Y42" i="1"/>
  <c r="Y43" i="1"/>
  <c r="Y44" i="1"/>
  <c r="Y45" i="1"/>
  <c r="Y46" i="1"/>
  <c r="Y47" i="1"/>
  <c r="Y51" i="1"/>
  <c r="Y52" i="1"/>
  <c r="Y53" i="1"/>
  <c r="Y54" i="1"/>
  <c r="Y55" i="1"/>
  <c r="Y56" i="1"/>
  <c r="Y57" i="1"/>
  <c r="Y58" i="1"/>
  <c r="Y59" i="1"/>
  <c r="P3" i="1"/>
  <c r="G60" i="1"/>
  <c r="G57" i="1"/>
  <c r="G56" i="1"/>
  <c r="G55" i="1"/>
  <c r="G54" i="1"/>
  <c r="G53" i="1"/>
  <c r="G52" i="1"/>
  <c r="G51" i="1"/>
  <c r="G36" i="1"/>
  <c r="G35" i="1"/>
  <c r="G34" i="1"/>
  <c r="G33" i="1"/>
  <c r="G32" i="1"/>
  <c r="G31" i="1"/>
  <c r="G30" i="1"/>
  <c r="G29" i="1"/>
  <c r="G28" i="1"/>
  <c r="G27" i="1"/>
  <c r="G24" i="1"/>
  <c r="G23" i="1"/>
  <c r="G22" i="1"/>
  <c r="G21" i="1"/>
  <c r="G20" i="1"/>
  <c r="G19" i="1"/>
  <c r="G18" i="1"/>
  <c r="G17" i="1"/>
  <c r="G16" i="1"/>
  <c r="G15" i="1"/>
  <c r="G4" i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<sst xmlns="http://schemas.openxmlformats.org/spreadsheetml/2006/main" count="878" uniqueCount="107">
  <si>
    <t>2 H</t>
  </si>
  <si>
    <t>4 H</t>
  </si>
  <si>
    <t>6 H</t>
  </si>
  <si>
    <t>8 H</t>
  </si>
  <si>
    <t>24 H</t>
  </si>
  <si>
    <t>Kód</t>
  </si>
  <si>
    <t>Idő</t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</si>
  <si>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R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</si>
  <si>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S</t>
    </r>
  </si>
  <si>
    <t>Konverzió</t>
  </si>
  <si>
    <t>HEPES</t>
  </si>
  <si>
    <t>10% DMSO</t>
  </si>
  <si>
    <t>20% DMSO</t>
  </si>
  <si>
    <t>30% DMSO</t>
  </si>
  <si>
    <t>10% glicerin</t>
  </si>
  <si>
    <t>20% glicerin</t>
  </si>
  <si>
    <t>30% glicerin</t>
  </si>
  <si>
    <t>10% IPA</t>
  </si>
  <si>
    <t>20% IPA</t>
  </si>
  <si>
    <t>30% IPA</t>
  </si>
  <si>
    <t>Közeg</t>
  </si>
  <si>
    <t>10% TWEEN 80</t>
  </si>
  <si>
    <t>20% TWEEN 80</t>
  </si>
  <si>
    <t>5% TWEEN 80</t>
  </si>
  <si>
    <r>
      <t xml:space="preserve">25 mM </t>
    </r>
    <r>
      <rPr>
        <sz val="11"/>
        <color theme="1"/>
        <rFont val="Calibri"/>
        <family val="2"/>
        <charset val="238"/>
      </rPr>
      <t>β-ciklodextrin</t>
    </r>
  </si>
  <si>
    <r>
      <t xml:space="preserve">10 mM </t>
    </r>
    <r>
      <rPr>
        <sz val="11"/>
        <color theme="1"/>
        <rFont val="Calibri"/>
        <family val="2"/>
        <charset val="238"/>
      </rPr>
      <t>β-ciklodextrin</t>
    </r>
  </si>
  <si>
    <r>
      <t xml:space="preserve">5 mM </t>
    </r>
    <r>
      <rPr>
        <sz val="11"/>
        <color theme="1"/>
        <rFont val="Calibri"/>
        <family val="2"/>
        <charset val="238"/>
      </rPr>
      <t>β-ciklodextrin</t>
    </r>
  </si>
  <si>
    <t>25 mM SLS</t>
  </si>
  <si>
    <t>50 mM SLS</t>
  </si>
  <si>
    <t>10 mM SLS</t>
  </si>
  <si>
    <r>
      <t xml:space="preserve">2,5 mM </t>
    </r>
    <r>
      <rPr>
        <sz val="11"/>
        <color theme="1"/>
        <rFont val="Calibri"/>
        <family val="2"/>
        <charset val="238"/>
      </rPr>
      <t>β-ciklodextrin</t>
    </r>
  </si>
  <si>
    <t>ACF</t>
  </si>
  <si>
    <t>AcF</t>
  </si>
  <si>
    <t>Laura</t>
  </si>
  <si>
    <t>Márk</t>
  </si>
  <si>
    <r>
      <t>10% lactic acid+</t>
    </r>
    <r>
      <rPr>
        <sz val="11"/>
        <color theme="1"/>
        <rFont val="Calibri"/>
        <family val="2"/>
      </rPr>
      <t>β-alanin</t>
    </r>
  </si>
  <si>
    <t>20% lactic acid+β-alanin</t>
  </si>
  <si>
    <t>30% lactic acid+β-alanin</t>
  </si>
  <si>
    <t>10% ChCl-glicerin</t>
  </si>
  <si>
    <t>20% ChCl-glicerin</t>
  </si>
  <si>
    <t>30% ChCl-glicerin</t>
  </si>
  <si>
    <t>10% ChCl-lactic acid</t>
  </si>
  <si>
    <t>30% ChCl-lactic acid</t>
  </si>
  <si>
    <t>20% ChCl-lactic acid</t>
  </si>
  <si>
    <t>10% PEG</t>
  </si>
  <si>
    <t>30% PEG</t>
  </si>
  <si>
    <t>20% PEG</t>
  </si>
  <si>
    <t>10% dioxane</t>
  </si>
  <si>
    <t>20% dioxane</t>
  </si>
  <si>
    <t>30% dioxane</t>
  </si>
  <si>
    <t>10% terc-butanol</t>
  </si>
  <si>
    <t>20% terc-butanol</t>
  </si>
  <si>
    <t>30% terc-butanol</t>
  </si>
  <si>
    <t>10% DMF</t>
  </si>
  <si>
    <t>20% DMF</t>
  </si>
  <si>
    <t>30% DMF</t>
  </si>
  <si>
    <t>2,5 mM gamma-ciklodextrin</t>
  </si>
  <si>
    <t>5 mM gamma-ciklodextrin</t>
  </si>
  <si>
    <t>10 mM gamma-ciklodextrin</t>
  </si>
  <si>
    <t>2,5 mM 2-OH-propil-ciklodextrin</t>
  </si>
  <si>
    <t>5 mM 2-OH-propil-ciklodextrin</t>
  </si>
  <si>
    <t>10 mM 2-OH-propil-ciklodextrin</t>
  </si>
  <si>
    <t>10% 1,5-pentanediol</t>
  </si>
  <si>
    <t>20% 1,5-pentanediol</t>
  </si>
  <si>
    <t>30% 1,5-pentanediol</t>
  </si>
  <si>
    <t>10% ethanol</t>
  </si>
  <si>
    <t>20% ethanol</t>
  </si>
  <si>
    <t>30% ethanol</t>
  </si>
  <si>
    <t>10% trifluoroethanol</t>
  </si>
  <si>
    <t>20% trifluoroethanol</t>
  </si>
  <si>
    <t>30% trifluoroethanol</t>
  </si>
  <si>
    <t>5 mM glükóz</t>
  </si>
  <si>
    <t>10 mM glükóz</t>
  </si>
  <si>
    <t>25 mM glükóz</t>
  </si>
  <si>
    <t>5 mM maltóz</t>
  </si>
  <si>
    <t>10 mM maltóz</t>
  </si>
  <si>
    <t>25 mM maltóz</t>
  </si>
  <si>
    <t>10% methanol</t>
  </si>
  <si>
    <t>20% methanol</t>
  </si>
  <si>
    <t>30% methanol</t>
  </si>
  <si>
    <t>10% ethylene glycol</t>
  </si>
  <si>
    <t>20% ethylene glycol</t>
  </si>
  <si>
    <t>30% ethylene glycol</t>
  </si>
  <si>
    <t>10% tert-amyl alcohol</t>
  </si>
  <si>
    <t>20% tert-amyl alcohol</t>
  </si>
  <si>
    <t>30% tert-amyl alcohol</t>
  </si>
  <si>
    <t>5 mM trehalose</t>
  </si>
  <si>
    <t>10 mM trehalose</t>
  </si>
  <si>
    <t>25 mM trehalose</t>
  </si>
  <si>
    <t>nem  elegyedtek</t>
  </si>
  <si>
    <t>25 mM β-ciklodextrin</t>
  </si>
  <si>
    <t>50 mM β-ciklodextrin</t>
  </si>
  <si>
    <t>25 mM gamma ciklodextrin</t>
  </si>
  <si>
    <t>50 mM gamma ciklodextrin</t>
  </si>
  <si>
    <t>25 mM 2-OH-propil-ciklodextrin</t>
  </si>
  <si>
    <t>50 mM 2-OH-propil-ciklodextrin</t>
  </si>
  <si>
    <t>50 mM trehalose</t>
  </si>
  <si>
    <t>50 mM maltose</t>
  </si>
  <si>
    <t>50 mM glucose</t>
  </si>
  <si>
    <t>5 mM SLS</t>
  </si>
  <si>
    <t>15 min</t>
  </si>
  <si>
    <t>30 min</t>
  </si>
  <si>
    <t>45 min</t>
  </si>
  <si>
    <t>1 H</t>
  </si>
  <si>
    <t>75 min</t>
  </si>
  <si>
    <t>90 min</t>
  </si>
  <si>
    <t>105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</si>
</sst>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11" xfId="0" applyFill="1" applyBorder="1" applyAlignment="1">
      <alignment horizontal="center" vertical="center"/>
    </xf>
    <xf numFmtId="0" fontId="0" fillId="2" borderId="15" xfId="0" applyFill="1" applyBorder="1"/>
    <xf numFmtId="9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4" borderId="0" xfId="0" applyFill="1"/>
    <xf numFmtId="9" fontId="0" fillId="4" borderId="0" xfId="0" applyNumberFormat="1" applyFill="1"/>
    <xf numFmtId="0" fontId="0" fillId="0" borderId="0" xfId="0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2" borderId="23" xfId="0" applyFill="1" applyBorder="1"/>
    <xf numFmtId="0" fontId="0" fillId="0" borderId="20" xfId="0" applyBorder="1"/>
    <xf numFmtId="0" fontId="0" fillId="0" borderId="24" xfId="0" applyBorder="1"/>
    <xf numFmtId="0" fontId="0" fillId="0" borderId="0" xfId="0" applyBorder="1" applyAlignment="1">
      <alignment vertical="center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S127"/>
  <sheetViews>
    <sheetView tabSelected="1" topLeftCell="CU106" zoomScale="88" zoomScaleNormal="70" workbookViewId="0">
      <selection activeCell="DO10" sqref="DO10"/>
    </sheetView>
  </sheetViews>
  <sheetFormatPr defaultRowHeight="14.4" x14ac:dyDescent="0.3"/>
  <cols>
    <col min="2" max="4" width="8.88671875" style="1"/>
    <col min="7" max="7" width="13.33203125" bestFit="1" customWidth="1"/>
    <col min="8" max="8" width="10.6640625" bestFit="1" customWidth="1"/>
    <col min="16" max="16" width="13.33203125" bestFit="1" customWidth="1"/>
    <col min="17" max="17" width="10.6640625" bestFit="1" customWidth="1"/>
    <col min="26" max="26" width="18.5546875" bestFit="1" customWidth="1"/>
    <col min="35" max="35" width="18.5546875" bestFit="1" customWidth="1"/>
    <col min="36" max="36" width="11.88671875" bestFit="1" customWidth="1"/>
    <col min="62" max="62" width="28.77734375" bestFit="1" customWidth="1"/>
    <col min="63" max="63" width="15.109375" bestFit="1" customWidth="1"/>
    <col min="80" max="80" width="13.21875" bestFit="1" customWidth="1"/>
    <col min="89" max="89" width="19.33203125" bestFit="1" customWidth="1"/>
    <col min="90" max="90" width="15.109375" bestFit="1" customWidth="1"/>
    <col min="98" max="98" width="27.44140625" bestFit="1" customWidth="1"/>
    <col min="107" max="107" width="13.6640625" bestFit="1" customWidth="1"/>
    <col min="116" max="116" width="17.44140625" bestFit="1" customWidth="1"/>
    <col min="118" max="122" width="8.88671875" style="50"/>
  </cols>
  <sheetData>
    <row r="1" spans="2:123" ht="15" thickBot="1" x14ac:dyDescent="0.35">
      <c r="B1" s="40" t="s">
        <v>33</v>
      </c>
      <c r="C1" s="40"/>
      <c r="D1" s="40"/>
      <c r="E1" s="40"/>
      <c r="F1" s="40"/>
      <c r="G1" s="40"/>
      <c r="H1" s="1"/>
      <c r="I1" s="1"/>
      <c r="K1" s="40" t="s">
        <v>34</v>
      </c>
      <c r="L1" s="40"/>
      <c r="M1" s="40"/>
      <c r="N1" s="40"/>
      <c r="O1" s="40"/>
      <c r="P1" s="40"/>
      <c r="Q1" s="1"/>
      <c r="R1" s="1"/>
      <c r="T1" s="41" t="s">
        <v>33</v>
      </c>
      <c r="U1" s="41"/>
      <c r="V1" s="41"/>
      <c r="W1" s="41"/>
      <c r="X1" s="41"/>
      <c r="Y1" s="41"/>
      <c r="Z1" s="14"/>
      <c r="AA1" s="14"/>
      <c r="AC1" s="41" t="s">
        <v>34</v>
      </c>
      <c r="AD1" s="41"/>
      <c r="AE1" s="41"/>
      <c r="AF1" s="41"/>
      <c r="AG1" s="41"/>
      <c r="AH1" s="41"/>
      <c r="AL1" s="45" t="s">
        <v>34</v>
      </c>
      <c r="AM1" s="45"/>
      <c r="AN1" s="45"/>
      <c r="AO1" s="45"/>
      <c r="AP1" s="45"/>
      <c r="AQ1" s="45"/>
      <c r="AU1" s="45" t="s">
        <v>34</v>
      </c>
      <c r="AV1" s="45"/>
      <c r="AW1" s="45"/>
      <c r="AX1" s="45"/>
      <c r="AY1" s="45"/>
      <c r="AZ1" s="45"/>
      <c r="BD1" s="45" t="s">
        <v>34</v>
      </c>
      <c r="BE1" s="45"/>
      <c r="BF1" s="45"/>
      <c r="BG1" s="45"/>
      <c r="BH1" s="45"/>
      <c r="BI1" s="45"/>
      <c r="BM1" s="45" t="s">
        <v>34</v>
      </c>
      <c r="BN1" s="45"/>
      <c r="BO1" s="45"/>
      <c r="BP1" s="45"/>
      <c r="BQ1" s="45"/>
      <c r="BR1" s="45"/>
      <c r="BV1" s="41" t="s">
        <v>34</v>
      </c>
      <c r="BW1" s="41"/>
      <c r="BX1" s="41"/>
      <c r="BY1" s="41"/>
      <c r="BZ1" s="41"/>
      <c r="CA1" s="41"/>
      <c r="CE1" s="41" t="s">
        <v>34</v>
      </c>
      <c r="CF1" s="41"/>
      <c r="CG1" s="41"/>
      <c r="CH1" s="41"/>
      <c r="CI1" s="41"/>
      <c r="CJ1" s="41"/>
      <c r="CN1" s="41" t="s">
        <v>34</v>
      </c>
      <c r="CO1" s="41"/>
      <c r="CP1" s="41"/>
      <c r="CQ1" s="41"/>
      <c r="CR1" s="41"/>
      <c r="CS1" s="41"/>
      <c r="CW1" s="41" t="s">
        <v>34</v>
      </c>
      <c r="CX1" s="41"/>
      <c r="CY1" s="41"/>
      <c r="CZ1" s="41"/>
      <c r="DA1" s="41"/>
      <c r="DB1" s="41"/>
      <c r="DF1" s="41" t="s">
        <v>34</v>
      </c>
      <c r="DG1" s="41"/>
      <c r="DH1" s="41"/>
      <c r="DI1" s="41"/>
      <c r="DJ1" s="41"/>
      <c r="DK1" s="41"/>
      <c r="DS1" s="50"/>
    </row>
    <row r="2" spans="2:123" s="1" customFormat="1" ht="16.2" thickBot="1" x14ac:dyDescent="0.35">
      <c r="B2" s="15" t="s">
        <v>5</v>
      </c>
      <c r="C2" s="15" t="s">
        <v>6</v>
      </c>
      <c r="D2" s="15" t="s">
        <v>32</v>
      </c>
      <c r="E2" s="15" t="s">
        <v>7</v>
      </c>
      <c r="F2" s="15" t="s">
        <v>8</v>
      </c>
      <c r="G2" s="15" t="s">
        <v>9</v>
      </c>
      <c r="H2" s="1" t="s">
        <v>20</v>
      </c>
      <c r="K2" s="15" t="s">
        <v>5</v>
      </c>
      <c r="L2" s="15" t="s">
        <v>6</v>
      </c>
      <c r="M2" s="15" t="s">
        <v>31</v>
      </c>
      <c r="N2" s="15" t="s">
        <v>7</v>
      </c>
      <c r="O2" s="15" t="s">
        <v>8</v>
      </c>
      <c r="P2" s="15" t="s">
        <v>9</v>
      </c>
      <c r="Q2" s="1" t="s">
        <v>20</v>
      </c>
      <c r="T2" s="15" t="s">
        <v>5</v>
      </c>
      <c r="U2" s="15" t="s">
        <v>6</v>
      </c>
      <c r="V2" s="15" t="s">
        <v>32</v>
      </c>
      <c r="W2" s="15" t="s">
        <v>7</v>
      </c>
      <c r="X2" s="15" t="s">
        <v>8</v>
      </c>
      <c r="Y2" s="15" t="s">
        <v>9</v>
      </c>
      <c r="Z2" s="1" t="s">
        <v>20</v>
      </c>
      <c r="AC2" s="15" t="s">
        <v>5</v>
      </c>
      <c r="AD2" s="15" t="s">
        <v>6</v>
      </c>
      <c r="AE2" s="15" t="s">
        <v>31</v>
      </c>
      <c r="AF2" s="15" t="s">
        <v>7</v>
      </c>
      <c r="AG2" s="15" t="s">
        <v>8</v>
      </c>
      <c r="AH2" s="15" t="s">
        <v>9</v>
      </c>
      <c r="AI2" s="1" t="s">
        <v>20</v>
      </c>
      <c r="AL2" s="15" t="s">
        <v>5</v>
      </c>
      <c r="AM2" s="15" t="s">
        <v>6</v>
      </c>
      <c r="AN2" s="15" t="s">
        <v>31</v>
      </c>
      <c r="AO2" s="15" t="s">
        <v>7</v>
      </c>
      <c r="AP2" s="15" t="s">
        <v>8</v>
      </c>
      <c r="AQ2" s="15" t="s">
        <v>9</v>
      </c>
      <c r="AU2" s="15" t="s">
        <v>5</v>
      </c>
      <c r="AV2" s="15" t="s">
        <v>6</v>
      </c>
      <c r="AW2" s="15" t="s">
        <v>31</v>
      </c>
      <c r="AX2" s="15" t="s">
        <v>7</v>
      </c>
      <c r="AY2" s="15" t="s">
        <v>8</v>
      </c>
      <c r="AZ2" s="15" t="s">
        <v>9</v>
      </c>
      <c r="BD2" s="15" t="s">
        <v>5</v>
      </c>
      <c r="BE2" s="15" t="s">
        <v>6</v>
      </c>
      <c r="BF2" s="15" t="s">
        <v>31</v>
      </c>
      <c r="BG2" s="15" t="s">
        <v>7</v>
      </c>
      <c r="BH2" s="15" t="s">
        <v>8</v>
      </c>
      <c r="BI2" s="15" t="s">
        <v>9</v>
      </c>
      <c r="BM2" s="15" t="s">
        <v>5</v>
      </c>
      <c r="BN2" s="15" t="s">
        <v>6</v>
      </c>
      <c r="BO2" s="15" t="s">
        <v>31</v>
      </c>
      <c r="BP2" s="15" t="s">
        <v>7</v>
      </c>
      <c r="BQ2" s="15" t="s">
        <v>8</v>
      </c>
      <c r="BR2" s="15" t="s">
        <v>9</v>
      </c>
      <c r="BV2" s="15" t="s">
        <v>5</v>
      </c>
      <c r="BW2" s="15" t="s">
        <v>6</v>
      </c>
      <c r="BX2" s="15" t="s">
        <v>31</v>
      </c>
      <c r="BY2" s="15" t="s">
        <v>7</v>
      </c>
      <c r="BZ2" s="15" t="s">
        <v>8</v>
      </c>
      <c r="CA2" s="15" t="s">
        <v>9</v>
      </c>
      <c r="CE2" s="15" t="s">
        <v>5</v>
      </c>
      <c r="CF2" s="15" t="s">
        <v>6</v>
      </c>
      <c r="CG2" s="15" t="s">
        <v>31</v>
      </c>
      <c r="CH2" s="15" t="s">
        <v>7</v>
      </c>
      <c r="CI2" s="15" t="s">
        <v>8</v>
      </c>
      <c r="CJ2" s="15" t="s">
        <v>9</v>
      </c>
      <c r="CN2" s="33" t="s">
        <v>5</v>
      </c>
      <c r="CO2" s="34" t="s">
        <v>6</v>
      </c>
      <c r="CP2" s="34" t="s">
        <v>31</v>
      </c>
      <c r="CQ2" s="34" t="s">
        <v>7</v>
      </c>
      <c r="CR2" s="34" t="s">
        <v>8</v>
      </c>
      <c r="CS2" s="35" t="s">
        <v>9</v>
      </c>
      <c r="CW2" s="15" t="s">
        <v>5</v>
      </c>
      <c r="CX2" s="15" t="s">
        <v>6</v>
      </c>
      <c r="CY2" s="15" t="s">
        <v>31</v>
      </c>
      <c r="CZ2" s="15" t="s">
        <v>7</v>
      </c>
      <c r="DA2" s="15" t="s">
        <v>8</v>
      </c>
      <c r="DB2" s="15" t="s">
        <v>9</v>
      </c>
      <c r="DF2" s="15" t="s">
        <v>5</v>
      </c>
      <c r="DG2" s="15" t="s">
        <v>6</v>
      </c>
      <c r="DH2" s="15" t="s">
        <v>31</v>
      </c>
      <c r="DI2" s="15" t="s">
        <v>7</v>
      </c>
      <c r="DJ2" s="15" t="s">
        <v>8</v>
      </c>
      <c r="DK2" s="15" t="s">
        <v>9</v>
      </c>
      <c r="DN2" s="51"/>
      <c r="DO2" s="51"/>
      <c r="DP2" s="51"/>
      <c r="DQ2" s="51"/>
      <c r="DR2" s="51"/>
      <c r="DS2" s="51"/>
    </row>
    <row r="3" spans="2:123" x14ac:dyDescent="0.3">
      <c r="B3" s="23">
        <v>609</v>
      </c>
      <c r="C3" s="46" t="s">
        <v>0</v>
      </c>
      <c r="D3" s="13">
        <v>20263</v>
      </c>
      <c r="E3" s="11">
        <v>779.3</v>
      </c>
      <c r="F3" s="11">
        <v>16331.6</v>
      </c>
      <c r="G3" s="12">
        <f>((F3-E3)/(2*F3))*100</f>
        <v>47.614134561218748</v>
      </c>
      <c r="H3" t="s">
        <v>10</v>
      </c>
      <c r="K3" s="23">
        <v>609</v>
      </c>
      <c r="L3" s="46" t="s">
        <v>0</v>
      </c>
      <c r="M3" s="13"/>
      <c r="N3" s="11"/>
      <c r="O3" s="11"/>
      <c r="P3" s="12" t="e">
        <f>((O3-N3)/(2*O3))*100</f>
        <v>#DIV/0!</v>
      </c>
      <c r="Q3" t="s">
        <v>10</v>
      </c>
      <c r="T3" s="19">
        <v>640</v>
      </c>
      <c r="U3" s="46" t="s">
        <v>0</v>
      </c>
      <c r="V3" s="13">
        <v>22305.4</v>
      </c>
      <c r="W3" s="11">
        <v>439.8</v>
      </c>
      <c r="X3" s="11">
        <v>16596.099999999999</v>
      </c>
      <c r="Y3" s="12">
        <f>((X3-W3)/(2*X3))*100</f>
        <v>48.674989907267374</v>
      </c>
      <c r="Z3" t="s">
        <v>21</v>
      </c>
      <c r="AC3" s="19">
        <v>640</v>
      </c>
      <c r="AD3" s="46" t="s">
        <v>0</v>
      </c>
      <c r="AE3" s="13">
        <v>23199</v>
      </c>
      <c r="AF3" s="11">
        <v>43.5</v>
      </c>
      <c r="AG3" s="11">
        <v>17784.7</v>
      </c>
      <c r="AH3" s="12">
        <f>((AG3-AF3)/(2*AG3))*100</f>
        <v>49.877703869055985</v>
      </c>
      <c r="AI3" t="s">
        <v>21</v>
      </c>
      <c r="AL3" s="19">
        <v>649</v>
      </c>
      <c r="AM3" s="46" t="s">
        <v>0</v>
      </c>
      <c r="AN3" s="13">
        <v>18287.900000000001</v>
      </c>
      <c r="AO3" s="11">
        <v>23.9</v>
      </c>
      <c r="AP3" s="11">
        <v>14128.8</v>
      </c>
      <c r="AQ3" s="12">
        <f>((AP3-AO3)/(2*AP3))*100</f>
        <v>49.915420984089238</v>
      </c>
      <c r="AR3" t="s">
        <v>10</v>
      </c>
      <c r="AU3" s="19">
        <v>662</v>
      </c>
      <c r="AV3" s="46" t="s">
        <v>0</v>
      </c>
      <c r="AW3" s="13">
        <v>21447.7</v>
      </c>
      <c r="AX3" s="11">
        <v>114.9</v>
      </c>
      <c r="AY3" s="11">
        <v>16960.599999999999</v>
      </c>
      <c r="AZ3" s="12">
        <f>((AY3-AX3)/(2*AY3))*100</f>
        <v>49.661273775691896</v>
      </c>
      <c r="BA3" t="s">
        <v>10</v>
      </c>
      <c r="BD3" s="19">
        <v>675</v>
      </c>
      <c r="BE3" s="46" t="s">
        <v>0</v>
      </c>
      <c r="BF3" s="13">
        <v>21346</v>
      </c>
      <c r="BG3" s="11">
        <v>547.5</v>
      </c>
      <c r="BH3" s="11">
        <v>18003.599999999999</v>
      </c>
      <c r="BI3" s="12">
        <f>((BH3-BG3)/(2*BH3))*100</f>
        <v>48.479470772512165</v>
      </c>
      <c r="BJ3" t="s">
        <v>10</v>
      </c>
      <c r="BM3" s="19">
        <v>688</v>
      </c>
      <c r="BN3" s="46" t="s">
        <v>0</v>
      </c>
      <c r="BO3" s="13">
        <v>23554.2</v>
      </c>
      <c r="BP3" s="11">
        <v>51.4</v>
      </c>
      <c r="BQ3" s="11">
        <v>18723</v>
      </c>
      <c r="BR3" s="12">
        <f>((BQ3-BP3)/(2*BQ3))*100</f>
        <v>49.862735672702016</v>
      </c>
      <c r="BS3" t="s">
        <v>10</v>
      </c>
      <c r="BV3" s="19">
        <v>701</v>
      </c>
      <c r="BW3" s="46" t="s">
        <v>0</v>
      </c>
      <c r="BX3" s="13">
        <v>23990.400000000001</v>
      </c>
      <c r="BY3" s="11">
        <v>117.3</v>
      </c>
      <c r="BZ3" s="11">
        <v>22340.799999999999</v>
      </c>
      <c r="CA3" s="12">
        <f>((BZ3-BY3)/(2*BZ3))*100</f>
        <v>49.737475828976585</v>
      </c>
      <c r="CB3" t="s">
        <v>10</v>
      </c>
      <c r="CE3" s="19">
        <v>714</v>
      </c>
      <c r="CF3" s="46" t="s">
        <v>0</v>
      </c>
      <c r="CG3" s="13">
        <v>22142.6</v>
      </c>
      <c r="CH3" s="11">
        <v>61.9</v>
      </c>
      <c r="CI3" s="11">
        <v>17524.3</v>
      </c>
      <c r="CJ3" s="12">
        <f>((CI3-CH3)/(2*CI3))*100</f>
        <v>49.823388095387543</v>
      </c>
      <c r="CK3" t="s">
        <v>10</v>
      </c>
      <c r="CN3" s="20">
        <v>727</v>
      </c>
      <c r="CO3" s="47" t="s">
        <v>0</v>
      </c>
      <c r="CP3" s="3">
        <v>24182.1</v>
      </c>
      <c r="CQ3" s="2">
        <v>0</v>
      </c>
      <c r="CR3" s="2">
        <v>19731.2</v>
      </c>
      <c r="CS3" s="7">
        <f>((CR3-CQ3)/(2*CR3))*100</f>
        <v>50</v>
      </c>
      <c r="CT3" s="30" t="s">
        <v>10</v>
      </c>
      <c r="CW3" s="19">
        <v>741</v>
      </c>
      <c r="CX3" s="37" t="s">
        <v>100</v>
      </c>
      <c r="CY3" s="13">
        <v>16225.8</v>
      </c>
      <c r="CZ3" s="11">
        <v>4331.7</v>
      </c>
      <c r="DA3" s="11">
        <v>16127.3</v>
      </c>
      <c r="DB3" s="12">
        <f>((DA3-CZ3)/(2*DA3))*100</f>
        <v>36.57028764889349</v>
      </c>
      <c r="DC3" t="s">
        <v>10</v>
      </c>
      <c r="DF3" s="19">
        <v>751</v>
      </c>
      <c r="DG3" s="37" t="s">
        <v>100</v>
      </c>
      <c r="DH3" s="13">
        <v>12030.5</v>
      </c>
      <c r="DI3" s="11">
        <v>4885.8</v>
      </c>
      <c r="DJ3" s="11">
        <v>13246.7</v>
      </c>
      <c r="DK3" s="12">
        <f>((DJ3-DI3)/(2*DJ3))*100</f>
        <v>31.558425872104003</v>
      </c>
      <c r="DL3" t="s">
        <v>10</v>
      </c>
      <c r="DS3" s="50"/>
    </row>
    <row r="4" spans="2:123" x14ac:dyDescent="0.3">
      <c r="B4" s="17">
        <v>610</v>
      </c>
      <c r="C4" s="43"/>
      <c r="D4" s="3">
        <v>17000.099999999999</v>
      </c>
      <c r="E4" s="2">
        <v>4673.1000000000004</v>
      </c>
      <c r="F4" s="2">
        <v>16530.900000000001</v>
      </c>
      <c r="G4" s="7">
        <f t="shared" ref="G4:G60" si="0">((F4-E4)/(2*F4))*100</f>
        <v>35.865560858755423</v>
      </c>
      <c r="H4" t="s">
        <v>11</v>
      </c>
      <c r="K4" s="17">
        <v>610</v>
      </c>
      <c r="L4" s="43"/>
      <c r="M4" s="3"/>
      <c r="N4" s="2"/>
      <c r="O4" s="2"/>
      <c r="P4" s="7" t="e">
        <f t="shared" ref="P4:P60" si="1">((O4-N4)/(2*O4))*100</f>
        <v>#DIV/0!</v>
      </c>
      <c r="Q4" t="s">
        <v>11</v>
      </c>
      <c r="T4" s="20">
        <v>641</v>
      </c>
      <c r="U4" s="43"/>
      <c r="V4" s="3">
        <v>21013</v>
      </c>
      <c r="W4" s="2">
        <v>358.4</v>
      </c>
      <c r="X4" s="2">
        <v>14422.9</v>
      </c>
      <c r="Y4" s="7">
        <f t="shared" ref="Y4:Y59" si="2">((X4-W4)/(2*X4))*100</f>
        <v>48.757531425718824</v>
      </c>
      <c r="Z4" t="s">
        <v>22</v>
      </c>
      <c r="AC4" s="20">
        <v>641</v>
      </c>
      <c r="AD4" s="43"/>
      <c r="AE4" s="3">
        <v>23080.400000000001</v>
      </c>
      <c r="AF4" s="2">
        <v>32.4</v>
      </c>
      <c r="AG4" s="2">
        <v>17020.5</v>
      </c>
      <c r="AH4" s="7">
        <f>((AG4-AF4)/(2*AG4))*100</f>
        <v>49.904820657442492</v>
      </c>
      <c r="AI4" t="s">
        <v>22</v>
      </c>
      <c r="AL4" s="20">
        <v>650</v>
      </c>
      <c r="AM4" s="43"/>
      <c r="AN4" s="3">
        <v>17891.8</v>
      </c>
      <c r="AO4" s="2">
        <v>502.4</v>
      </c>
      <c r="AP4" s="2">
        <v>13713</v>
      </c>
      <c r="AQ4" s="7">
        <f>((AP4-AO4)/(2*AP4))*100</f>
        <v>48.168161598483195</v>
      </c>
      <c r="AR4" t="s">
        <v>11</v>
      </c>
      <c r="AU4" s="20">
        <v>663</v>
      </c>
      <c r="AV4" s="43"/>
      <c r="AW4" s="3">
        <v>20548.400000000001</v>
      </c>
      <c r="AX4" s="2">
        <v>1384.5</v>
      </c>
      <c r="AY4" s="2">
        <v>16426</v>
      </c>
      <c r="AZ4" s="7">
        <f>((AY4-AX4)/(2*AY4))*100</f>
        <v>45.785644709606721</v>
      </c>
      <c r="BA4" t="s">
        <v>11</v>
      </c>
      <c r="BD4" s="20">
        <v>676</v>
      </c>
      <c r="BE4" s="43"/>
      <c r="BF4" s="3">
        <v>19967.5</v>
      </c>
      <c r="BG4" s="2">
        <v>3499.8</v>
      </c>
      <c r="BH4" s="2">
        <v>18566.099999999999</v>
      </c>
      <c r="BI4" s="12">
        <f t="shared" ref="BI4:BI63" si="3">((BH4-BG4)/(2*BH4))*100</f>
        <v>40.574757218802013</v>
      </c>
      <c r="BJ4" t="s">
        <v>11</v>
      </c>
      <c r="BM4" s="20">
        <v>689</v>
      </c>
      <c r="BN4" s="43"/>
      <c r="BO4" s="3">
        <v>22683.4</v>
      </c>
      <c r="BP4" s="2">
        <v>294.10000000000002</v>
      </c>
      <c r="BQ4" s="2">
        <v>17202.3</v>
      </c>
      <c r="BR4" s="12">
        <f>((BQ4-BP4)/(2*BQ4))*100</f>
        <v>49.145172447870344</v>
      </c>
      <c r="BS4" t="s">
        <v>11</v>
      </c>
      <c r="BV4" s="20">
        <v>702</v>
      </c>
      <c r="BW4" s="43"/>
      <c r="BX4" s="3">
        <v>22075.9</v>
      </c>
      <c r="BY4" s="2">
        <v>4605.6000000000004</v>
      </c>
      <c r="BZ4" s="2">
        <v>22765.7</v>
      </c>
      <c r="CA4" s="12">
        <f>((BZ4-BY4)/(2*BZ4))*100</f>
        <v>39.884782809226152</v>
      </c>
      <c r="CB4" t="s">
        <v>11</v>
      </c>
      <c r="CE4" s="20">
        <v>715</v>
      </c>
      <c r="CF4" s="43"/>
      <c r="CG4" s="3">
        <v>20620.7</v>
      </c>
      <c r="CH4" s="2">
        <v>535.1</v>
      </c>
      <c r="CI4" s="2">
        <v>15654.8</v>
      </c>
      <c r="CJ4" s="12">
        <f>((CI4-CH4)/(2*CI4))*100</f>
        <v>48.290939520147177</v>
      </c>
      <c r="CK4" t="s">
        <v>11</v>
      </c>
      <c r="CN4" s="20">
        <v>728</v>
      </c>
      <c r="CO4" s="38"/>
      <c r="CP4" s="3">
        <v>23984.9</v>
      </c>
      <c r="CQ4" s="2">
        <v>400</v>
      </c>
      <c r="CR4" s="2">
        <v>18179.8</v>
      </c>
      <c r="CS4" s="7">
        <f>((CR4-CQ4)/(2*CR4))*100</f>
        <v>48.899877886445395</v>
      </c>
      <c r="CT4" s="30" t="s">
        <v>11</v>
      </c>
      <c r="CW4" s="20">
        <v>742</v>
      </c>
      <c r="CX4" s="38"/>
      <c r="CY4" s="3">
        <v>15809.9</v>
      </c>
      <c r="CZ4" s="2">
        <v>5943.3</v>
      </c>
      <c r="DA4" s="2">
        <v>16792.599999999999</v>
      </c>
      <c r="DB4" s="12">
        <f>((DA4-CZ4)/(2*DA4))*100</f>
        <v>32.303812393554303</v>
      </c>
      <c r="DC4" s="30" t="s">
        <v>11</v>
      </c>
      <c r="DF4" s="20">
        <v>752</v>
      </c>
      <c r="DG4" s="38"/>
      <c r="DH4" s="13">
        <v>12357.9</v>
      </c>
      <c r="DI4" s="11">
        <v>5752.6</v>
      </c>
      <c r="DJ4" s="11">
        <v>11479.5</v>
      </c>
      <c r="DK4" s="12">
        <f>((DJ4-DI4)/(2*DJ4))*100</f>
        <v>24.944030663356418</v>
      </c>
      <c r="DL4" s="30" t="s">
        <v>11</v>
      </c>
      <c r="DS4" s="50"/>
    </row>
    <row r="5" spans="2:123" x14ac:dyDescent="0.3">
      <c r="B5" s="17">
        <v>611</v>
      </c>
      <c r="C5" s="43"/>
      <c r="D5" s="3">
        <v>9463.6</v>
      </c>
      <c r="E5" s="2">
        <v>10551.5</v>
      </c>
      <c r="F5" s="2">
        <v>16522</v>
      </c>
      <c r="G5" s="7">
        <f t="shared" si="0"/>
        <v>18.068333131582133</v>
      </c>
      <c r="H5" t="s">
        <v>12</v>
      </c>
      <c r="K5" s="17">
        <v>611</v>
      </c>
      <c r="L5" s="43"/>
      <c r="M5" s="3"/>
      <c r="N5" s="2"/>
      <c r="O5" s="2"/>
      <c r="P5" s="7" t="e">
        <f t="shared" si="1"/>
        <v>#DIV/0!</v>
      </c>
      <c r="Q5" t="s">
        <v>12</v>
      </c>
      <c r="T5" s="20">
        <v>642</v>
      </c>
      <c r="U5" s="43"/>
      <c r="V5" s="3">
        <v>21086.9</v>
      </c>
      <c r="W5" s="2">
        <v>754.4</v>
      </c>
      <c r="X5" s="2">
        <v>16695.400000000001</v>
      </c>
      <c r="Y5" s="7">
        <f t="shared" si="2"/>
        <v>47.740695041748026</v>
      </c>
      <c r="Z5" t="s">
        <v>23</v>
      </c>
      <c r="AC5" s="20">
        <v>642</v>
      </c>
      <c r="AD5" s="43"/>
      <c r="AE5" s="3">
        <v>22465.8</v>
      </c>
      <c r="AF5" s="2">
        <v>57</v>
      </c>
      <c r="AG5" s="2">
        <v>17079.3</v>
      </c>
      <c r="AH5" s="7">
        <f t="shared" ref="AH5:AH59" si="4">((AG5-AF5)/(2*AG5))*100</f>
        <v>49.833131334422369</v>
      </c>
      <c r="AI5" t="s">
        <v>23</v>
      </c>
      <c r="AL5" s="20">
        <v>651</v>
      </c>
      <c r="AM5" s="43"/>
      <c r="AN5" s="3">
        <v>12902.9</v>
      </c>
      <c r="AO5" s="2">
        <v>5468.2</v>
      </c>
      <c r="AP5" s="2">
        <v>13833.8</v>
      </c>
      <c r="AQ5" s="7">
        <f t="shared" ref="AQ5:AQ15" si="5">((AP5-AO5)/(2*AP5))*100</f>
        <v>30.2360884211135</v>
      </c>
      <c r="AR5" t="s">
        <v>12</v>
      </c>
      <c r="AU5" s="19">
        <v>664</v>
      </c>
      <c r="AV5" s="43"/>
      <c r="AW5" s="3">
        <v>13917.6</v>
      </c>
      <c r="AX5" s="2">
        <v>7048.1</v>
      </c>
      <c r="AY5" s="2">
        <v>16116.8</v>
      </c>
      <c r="AZ5" s="7">
        <f t="shared" ref="AZ5:AZ15" si="6">((AY5-AX5)/(2*AY5))*100</f>
        <v>28.134307058473144</v>
      </c>
      <c r="BA5" t="s">
        <v>12</v>
      </c>
      <c r="BD5" s="19">
        <v>677</v>
      </c>
      <c r="BE5" s="43"/>
      <c r="BF5" s="3">
        <v>11766.1</v>
      </c>
      <c r="BG5" s="2">
        <v>10289.700000000001</v>
      </c>
      <c r="BH5" s="2">
        <v>18233.599999999999</v>
      </c>
      <c r="BI5" s="12">
        <f t="shared" si="3"/>
        <v>21.78368506493506</v>
      </c>
      <c r="BJ5" t="s">
        <v>12</v>
      </c>
      <c r="BM5" s="19">
        <v>690</v>
      </c>
      <c r="BN5" s="43"/>
      <c r="BO5" s="3">
        <v>18877</v>
      </c>
      <c r="BP5" s="2">
        <v>5767.3</v>
      </c>
      <c r="BQ5" s="2">
        <v>17146.400000000001</v>
      </c>
      <c r="BR5" s="12">
        <f t="shared" ref="BR5:BR63" si="7">((BQ5-BP5)/(2*BQ5))*100</f>
        <v>33.182184015303505</v>
      </c>
      <c r="BS5" t="s">
        <v>12</v>
      </c>
      <c r="BV5" s="19">
        <v>703</v>
      </c>
      <c r="BW5" s="43"/>
      <c r="BX5" s="3">
        <v>17119.7</v>
      </c>
      <c r="BY5" s="2">
        <v>10127.9</v>
      </c>
      <c r="BZ5" s="2">
        <v>23990.7</v>
      </c>
      <c r="CA5" s="12">
        <f t="shared" ref="CA5:CA15" si="8">((BZ5-BY5)/(2*BZ5))*100</f>
        <v>28.892028994568729</v>
      </c>
      <c r="CB5" t="s">
        <v>12</v>
      </c>
      <c r="CE5" s="19">
        <v>716</v>
      </c>
      <c r="CF5" s="43"/>
      <c r="CG5" s="3">
        <v>16695.599999999999</v>
      </c>
      <c r="CH5" s="2">
        <v>6552.8</v>
      </c>
      <c r="CI5" s="2">
        <v>17617</v>
      </c>
      <c r="CJ5" s="12">
        <f t="shared" ref="CJ5:CJ15" si="9">((CI5-CH5)/(2*CI5))*100</f>
        <v>31.402054833399561</v>
      </c>
      <c r="CK5" t="s">
        <v>12</v>
      </c>
      <c r="CN5" s="20">
        <v>729</v>
      </c>
      <c r="CO5" s="38"/>
      <c r="CP5" s="3">
        <v>15043.5</v>
      </c>
      <c r="CQ5" s="2">
        <v>6606.6</v>
      </c>
      <c r="CR5" s="2">
        <v>17350.400000000001</v>
      </c>
      <c r="CS5" s="7">
        <f t="shared" ref="CS5:CS16" si="10">((CR5-CQ5)/(2*CR5))*100</f>
        <v>30.961245850239766</v>
      </c>
      <c r="CT5" s="30" t="s">
        <v>12</v>
      </c>
      <c r="CW5" s="19">
        <v>743</v>
      </c>
      <c r="CX5" s="38"/>
      <c r="CY5" s="3">
        <v>9896.5</v>
      </c>
      <c r="CZ5" s="2">
        <v>10826.2</v>
      </c>
      <c r="DA5" s="2">
        <v>16962.400000000001</v>
      </c>
      <c r="DB5" s="12">
        <f t="shared" ref="DB5:DB12" si="11">((DA5-CZ5)/(2*DA5))*100</f>
        <v>18.087652690656984</v>
      </c>
      <c r="DC5" s="30" t="s">
        <v>12</v>
      </c>
      <c r="DF5" s="19">
        <v>753</v>
      </c>
      <c r="DG5" s="38"/>
      <c r="DH5" s="13">
        <v>6250.9</v>
      </c>
      <c r="DI5" s="11">
        <v>8390.5</v>
      </c>
      <c r="DJ5" s="11">
        <v>13037.3</v>
      </c>
      <c r="DK5" s="12">
        <f t="shared" ref="DK5:DK12" si="12">((DJ5-DI5)/(2*DJ5))*100</f>
        <v>17.821174629716275</v>
      </c>
      <c r="DL5" s="30" t="s">
        <v>12</v>
      </c>
      <c r="DS5" s="50"/>
    </row>
    <row r="6" spans="2:123" x14ac:dyDescent="0.3">
      <c r="B6" s="17">
        <v>612</v>
      </c>
      <c r="C6" s="43"/>
      <c r="D6" s="3">
        <v>3106.1</v>
      </c>
      <c r="E6" s="2">
        <v>14705.6</v>
      </c>
      <c r="F6" s="2">
        <v>16636.599999999999</v>
      </c>
      <c r="G6" s="7">
        <f t="shared" si="0"/>
        <v>5.8034694589038569</v>
      </c>
      <c r="H6" t="s">
        <v>13</v>
      </c>
      <c r="K6" s="17">
        <v>612</v>
      </c>
      <c r="L6" s="43"/>
      <c r="M6" s="3"/>
      <c r="N6" s="2"/>
      <c r="O6" s="2"/>
      <c r="P6" s="7" t="e">
        <f t="shared" si="1"/>
        <v>#DIV/0!</v>
      </c>
      <c r="Q6" t="s">
        <v>13</v>
      </c>
      <c r="T6" s="20">
        <v>643</v>
      </c>
      <c r="U6" s="43"/>
      <c r="V6" s="3">
        <v>13786.4</v>
      </c>
      <c r="W6" s="2">
        <v>1530.8</v>
      </c>
      <c r="X6" s="2">
        <v>15512.4</v>
      </c>
      <c r="Y6" s="7">
        <f t="shared" si="2"/>
        <v>45.065882777648852</v>
      </c>
      <c r="Z6" t="s">
        <v>24</v>
      </c>
      <c r="AC6" s="20">
        <v>643</v>
      </c>
      <c r="AD6" s="43"/>
      <c r="AE6" s="3">
        <v>21550.400000000001</v>
      </c>
      <c r="AF6" s="2">
        <v>38.6</v>
      </c>
      <c r="AG6" s="2">
        <v>17050.8</v>
      </c>
      <c r="AH6" s="7">
        <f t="shared" si="4"/>
        <v>49.88680883008422</v>
      </c>
      <c r="AI6" t="s">
        <v>30</v>
      </c>
      <c r="AJ6" s="40"/>
      <c r="AL6" s="20">
        <v>652</v>
      </c>
      <c r="AM6" s="43"/>
      <c r="AN6" s="3">
        <v>3653.5</v>
      </c>
      <c r="AO6" s="2">
        <v>11708</v>
      </c>
      <c r="AP6" s="2">
        <v>13892.3</v>
      </c>
      <c r="AQ6" s="7">
        <f t="shared" si="5"/>
        <v>7.8615492035156134</v>
      </c>
      <c r="AR6" t="s">
        <v>13</v>
      </c>
      <c r="AU6" s="20">
        <v>665</v>
      </c>
      <c r="AV6" s="43"/>
      <c r="AW6" s="3">
        <v>125.9</v>
      </c>
      <c r="AX6" s="2">
        <v>17311.5</v>
      </c>
      <c r="AY6" s="2">
        <v>17567.900000000001</v>
      </c>
      <c r="AZ6" s="7">
        <f t="shared" si="6"/>
        <v>0.72974003722699199</v>
      </c>
      <c r="BA6" t="s">
        <v>13</v>
      </c>
      <c r="BD6" s="20">
        <v>678</v>
      </c>
      <c r="BE6" s="43"/>
      <c r="BF6" s="3">
        <v>3741.4</v>
      </c>
      <c r="BG6" s="2">
        <v>16342.4</v>
      </c>
      <c r="BH6" s="2">
        <v>18820.2</v>
      </c>
      <c r="BI6" s="12">
        <f t="shared" si="3"/>
        <v>6.5828205863912208</v>
      </c>
      <c r="BJ6" t="s">
        <v>13</v>
      </c>
      <c r="BM6" s="20">
        <v>691</v>
      </c>
      <c r="BN6" s="43"/>
      <c r="BO6" s="3">
        <v>5294.2</v>
      </c>
      <c r="BP6" s="2">
        <v>14318.3</v>
      </c>
      <c r="BQ6" s="2">
        <v>17403.5</v>
      </c>
      <c r="BR6" s="12">
        <f t="shared" si="7"/>
        <v>8.8637343063176974</v>
      </c>
      <c r="BS6" t="s">
        <v>13</v>
      </c>
      <c r="BV6" s="20">
        <v>704</v>
      </c>
      <c r="BW6" s="43"/>
      <c r="BX6" s="3">
        <v>5067.1000000000004</v>
      </c>
      <c r="BY6" s="2">
        <v>21152.7</v>
      </c>
      <c r="BZ6" s="2">
        <v>25116.400000000001</v>
      </c>
      <c r="CA6" s="12">
        <f t="shared" si="8"/>
        <v>7.8906610820021985</v>
      </c>
      <c r="CB6" t="s">
        <v>13</v>
      </c>
      <c r="CE6" s="20">
        <v>717</v>
      </c>
      <c r="CF6" s="43"/>
      <c r="CG6" s="3">
        <v>4622.3999999999996</v>
      </c>
      <c r="CH6" s="2">
        <v>15238.3</v>
      </c>
      <c r="CI6" s="2">
        <v>17923.099999999999</v>
      </c>
      <c r="CJ6" s="12">
        <f t="shared" si="9"/>
        <v>7.489775764237212</v>
      </c>
      <c r="CK6" t="s">
        <v>13</v>
      </c>
      <c r="CN6" s="20">
        <v>730</v>
      </c>
      <c r="CO6" s="38"/>
      <c r="CP6" s="3">
        <v>4537.2</v>
      </c>
      <c r="CQ6" s="2">
        <v>14320.7</v>
      </c>
      <c r="CR6" s="2">
        <v>17056.3</v>
      </c>
      <c r="CS6" s="7">
        <f t="shared" si="10"/>
        <v>8.0193242379648524</v>
      </c>
      <c r="CT6" s="30" t="s">
        <v>13</v>
      </c>
      <c r="CW6" s="20">
        <v>744</v>
      </c>
      <c r="CX6" s="38"/>
      <c r="CY6" s="3">
        <v>4075</v>
      </c>
      <c r="CZ6" s="2">
        <v>17417.599999999999</v>
      </c>
      <c r="DA6" s="2">
        <v>19876.400000000001</v>
      </c>
      <c r="DB6" s="12">
        <f t="shared" si="11"/>
        <v>6.1852246885754028</v>
      </c>
      <c r="DC6" s="30" t="s">
        <v>13</v>
      </c>
      <c r="DF6" s="20">
        <v>754</v>
      </c>
      <c r="DG6" s="38"/>
      <c r="DH6" s="13">
        <v>1998.2</v>
      </c>
      <c r="DI6" s="11">
        <v>12677.1</v>
      </c>
      <c r="DJ6" s="11">
        <v>14226.8</v>
      </c>
      <c r="DK6" s="12">
        <f t="shared" si="12"/>
        <v>5.4464109989597063</v>
      </c>
      <c r="DL6" s="30" t="s">
        <v>13</v>
      </c>
      <c r="DS6" s="50"/>
    </row>
    <row r="7" spans="2:123" x14ac:dyDescent="0.3">
      <c r="B7" s="17">
        <v>613</v>
      </c>
      <c r="C7" s="43"/>
      <c r="D7" s="3">
        <v>20746.5</v>
      </c>
      <c r="E7" s="2">
        <v>285.3</v>
      </c>
      <c r="F7" s="2">
        <v>16243.6</v>
      </c>
      <c r="G7" s="7">
        <f t="shared" si="0"/>
        <v>49.121807973601911</v>
      </c>
      <c r="H7" t="s">
        <v>14</v>
      </c>
      <c r="K7" s="17">
        <v>613</v>
      </c>
      <c r="L7" s="43"/>
      <c r="M7" s="3"/>
      <c r="N7" s="2"/>
      <c r="O7" s="2"/>
      <c r="P7" s="7" t="e">
        <f t="shared" si="1"/>
        <v>#DIV/0!</v>
      </c>
      <c r="Q7" t="s">
        <v>14</v>
      </c>
      <c r="T7" s="20">
        <v>644</v>
      </c>
      <c r="U7" s="43"/>
      <c r="V7" s="3">
        <v>19882.099999999999</v>
      </c>
      <c r="W7" s="2">
        <v>2036.4</v>
      </c>
      <c r="X7" s="2">
        <v>16181.8</v>
      </c>
      <c r="Y7" s="7">
        <f t="shared" si="2"/>
        <v>43.707745739040156</v>
      </c>
      <c r="Z7" t="s">
        <v>26</v>
      </c>
      <c r="AC7" s="20">
        <v>644</v>
      </c>
      <c r="AD7" s="43"/>
      <c r="AE7" s="3">
        <v>21893.4</v>
      </c>
      <c r="AF7" s="2">
        <v>32.6</v>
      </c>
      <c r="AG7" s="2">
        <v>16945</v>
      </c>
      <c r="AH7" s="7">
        <f t="shared" si="4"/>
        <v>49.903806432575983</v>
      </c>
      <c r="AI7" t="s">
        <v>26</v>
      </c>
      <c r="AJ7" s="40"/>
      <c r="AL7" s="20">
        <v>653</v>
      </c>
      <c r="AM7" s="43"/>
      <c r="AN7" s="3">
        <v>99.1</v>
      </c>
      <c r="AO7" s="2">
        <v>13586.6</v>
      </c>
      <c r="AP7" s="2">
        <v>13742.2</v>
      </c>
      <c r="AQ7" s="7">
        <f t="shared" si="5"/>
        <v>0.56613933722402654</v>
      </c>
      <c r="AR7" t="s">
        <v>35</v>
      </c>
      <c r="AU7" s="19">
        <v>666</v>
      </c>
      <c r="AV7" s="43"/>
      <c r="AW7" s="3">
        <v>21510.6</v>
      </c>
      <c r="AX7" s="2">
        <v>189.1</v>
      </c>
      <c r="AY7" s="2">
        <v>16012.6</v>
      </c>
      <c r="AZ7" s="7">
        <f t="shared" si="6"/>
        <v>49.409527497096036</v>
      </c>
      <c r="BA7" t="s">
        <v>44</v>
      </c>
      <c r="BD7" s="19">
        <v>679</v>
      </c>
      <c r="BE7" s="43"/>
      <c r="BF7" s="3">
        <v>20902.7</v>
      </c>
      <c r="BG7" s="2">
        <v>553.5</v>
      </c>
      <c r="BH7" s="2">
        <v>17784.099999999999</v>
      </c>
      <c r="BI7" s="12">
        <f t="shared" si="3"/>
        <v>48.443834661298574</v>
      </c>
      <c r="BJ7" s="25" t="s">
        <v>56</v>
      </c>
      <c r="BK7" s="40"/>
      <c r="BM7" s="19">
        <v>692</v>
      </c>
      <c r="BN7" s="43"/>
      <c r="BO7" s="3">
        <v>11689.5</v>
      </c>
      <c r="BP7" s="2">
        <v>11206.7</v>
      </c>
      <c r="BQ7" s="2">
        <v>18761.8</v>
      </c>
      <c r="BR7" s="12">
        <f t="shared" si="7"/>
        <v>20.134262171007041</v>
      </c>
      <c r="BS7" s="25" t="s">
        <v>62</v>
      </c>
      <c r="BV7" s="19">
        <v>705</v>
      </c>
      <c r="BW7" s="43"/>
      <c r="BX7" s="3">
        <v>23963.200000000001</v>
      </c>
      <c r="BY7" s="2">
        <v>52.8</v>
      </c>
      <c r="BZ7" s="2">
        <v>21842.2</v>
      </c>
      <c r="CA7" s="12">
        <f t="shared" si="8"/>
        <v>49.879133054362654</v>
      </c>
      <c r="CB7" s="25" t="s">
        <v>71</v>
      </c>
      <c r="CC7" s="40"/>
      <c r="CE7" s="19">
        <v>718</v>
      </c>
      <c r="CF7" s="43"/>
      <c r="CG7" s="3">
        <v>21964.9</v>
      </c>
      <c r="CH7" s="2">
        <v>159.4</v>
      </c>
      <c r="CI7" s="2">
        <v>16806.400000000001</v>
      </c>
      <c r="CJ7" s="12">
        <f t="shared" si="9"/>
        <v>49.52577589489718</v>
      </c>
      <c r="CK7" s="25" t="s">
        <v>80</v>
      </c>
      <c r="CN7" s="20">
        <v>731</v>
      </c>
      <c r="CO7" s="38"/>
      <c r="CP7" s="3"/>
      <c r="CQ7" s="2"/>
      <c r="CR7" s="2"/>
      <c r="CS7" s="7">
        <v>50</v>
      </c>
      <c r="CT7" s="31" t="s">
        <v>90</v>
      </c>
      <c r="CW7" s="19">
        <v>745</v>
      </c>
      <c r="CX7" s="38"/>
      <c r="CY7" s="3">
        <v>19876.5</v>
      </c>
      <c r="CZ7" s="2">
        <v>3968.9</v>
      </c>
      <c r="DA7" s="2">
        <v>18412.599999999999</v>
      </c>
      <c r="DB7" s="12">
        <f t="shared" si="11"/>
        <v>39.222326015880434</v>
      </c>
      <c r="DC7" s="30" t="s">
        <v>14</v>
      </c>
      <c r="DF7" s="19">
        <v>755</v>
      </c>
      <c r="DG7" s="38"/>
      <c r="DH7" s="13">
        <v>11910.3</v>
      </c>
      <c r="DI7" s="11">
        <v>4144.2</v>
      </c>
      <c r="DJ7" s="11">
        <v>14695.2</v>
      </c>
      <c r="DK7" s="12">
        <f t="shared" si="12"/>
        <v>35.899477380369099</v>
      </c>
      <c r="DL7" s="30" t="s">
        <v>80</v>
      </c>
      <c r="DS7" s="50"/>
    </row>
    <row r="8" spans="2:123" x14ac:dyDescent="0.3">
      <c r="B8" s="17">
        <v>614</v>
      </c>
      <c r="C8" s="43"/>
      <c r="D8" s="3">
        <v>21594</v>
      </c>
      <c r="E8" s="2">
        <v>68.5</v>
      </c>
      <c r="F8" s="2">
        <v>16238.8</v>
      </c>
      <c r="G8" s="7">
        <f t="shared" si="0"/>
        <v>49.789085400399046</v>
      </c>
      <c r="H8" t="s">
        <v>15</v>
      </c>
      <c r="K8" s="17">
        <v>614</v>
      </c>
      <c r="L8" s="43"/>
      <c r="M8" s="3"/>
      <c r="N8" s="2"/>
      <c r="O8" s="2"/>
      <c r="P8" s="7" t="e">
        <f t="shared" si="1"/>
        <v>#DIV/0!</v>
      </c>
      <c r="Q8" t="s">
        <v>15</v>
      </c>
      <c r="T8" s="20">
        <v>645</v>
      </c>
      <c r="U8" s="43"/>
      <c r="V8" s="3">
        <v>20119.900000000001</v>
      </c>
      <c r="W8" s="2">
        <v>2023.4</v>
      </c>
      <c r="X8" s="2">
        <v>16383.9</v>
      </c>
      <c r="Y8" s="7">
        <f t="shared" si="2"/>
        <v>43.825035553195519</v>
      </c>
      <c r="Z8" t="s">
        <v>25</v>
      </c>
      <c r="AC8" s="20">
        <v>645</v>
      </c>
      <c r="AD8" s="43"/>
      <c r="AE8" s="3">
        <v>21094</v>
      </c>
      <c r="AF8" s="2">
        <v>62.3</v>
      </c>
      <c r="AG8" s="2">
        <v>16637.3</v>
      </c>
      <c r="AH8" s="7">
        <f t="shared" si="4"/>
        <v>49.812770100917817</v>
      </c>
      <c r="AI8" t="s">
        <v>25</v>
      </c>
      <c r="AJ8" s="40"/>
      <c r="AL8" s="20">
        <v>654</v>
      </c>
      <c r="AM8" s="43"/>
      <c r="AN8" s="3">
        <v>104.8</v>
      </c>
      <c r="AO8" s="2">
        <v>13383.4</v>
      </c>
      <c r="AP8" s="2">
        <v>13490.1</v>
      </c>
      <c r="AQ8" s="7">
        <f t="shared" si="5"/>
        <v>0.39547520033209804</v>
      </c>
      <c r="AR8" t="s">
        <v>36</v>
      </c>
      <c r="AU8" s="20">
        <v>667</v>
      </c>
      <c r="AV8" s="43"/>
      <c r="AW8" s="3">
        <v>23044.7</v>
      </c>
      <c r="AX8" s="2">
        <v>574.70000000000005</v>
      </c>
      <c r="AY8" s="2">
        <v>17520.900000000001</v>
      </c>
      <c r="AZ8" s="7">
        <f t="shared" si="6"/>
        <v>48.359958677921796</v>
      </c>
      <c r="BA8" t="s">
        <v>46</v>
      </c>
      <c r="BD8" s="20">
        <v>680</v>
      </c>
      <c r="BE8" s="43"/>
      <c r="BF8" s="3">
        <v>21200.6</v>
      </c>
      <c r="BG8" s="2">
        <v>387.8</v>
      </c>
      <c r="BH8" s="2">
        <v>17870.099999999999</v>
      </c>
      <c r="BI8" s="12">
        <f t="shared" si="3"/>
        <v>48.914947314228797</v>
      </c>
      <c r="BJ8" t="s">
        <v>57</v>
      </c>
      <c r="BK8" s="40"/>
      <c r="BM8" s="20">
        <v>693</v>
      </c>
      <c r="BN8" s="43"/>
      <c r="BO8" s="3">
        <v>3717</v>
      </c>
      <c r="BP8" s="27">
        <v>16467.2</v>
      </c>
      <c r="BQ8" s="2">
        <v>18742.7</v>
      </c>
      <c r="BR8" s="12">
        <f t="shared" si="7"/>
        <v>6.0703633948150477</v>
      </c>
      <c r="BS8" t="s">
        <v>63</v>
      </c>
      <c r="BV8" s="20">
        <v>706</v>
      </c>
      <c r="BW8" s="43"/>
      <c r="BX8" s="3">
        <v>24078.5</v>
      </c>
      <c r="BY8" s="27">
        <v>53.3</v>
      </c>
      <c r="BZ8" s="2">
        <v>21110.9</v>
      </c>
      <c r="CA8" s="12">
        <f t="shared" si="8"/>
        <v>49.873761895513695</v>
      </c>
      <c r="CB8" t="s">
        <v>72</v>
      </c>
      <c r="CC8" s="40"/>
      <c r="CE8" s="20">
        <v>719</v>
      </c>
      <c r="CF8" s="43"/>
      <c r="CG8" s="3">
        <v>22378.9</v>
      </c>
      <c r="CH8" s="27">
        <v>1398.8</v>
      </c>
      <c r="CI8" s="2">
        <v>18113.599999999999</v>
      </c>
      <c r="CJ8" s="12">
        <f t="shared" si="9"/>
        <v>46.138812825722106</v>
      </c>
      <c r="CK8" t="s">
        <v>81</v>
      </c>
      <c r="CN8" s="20">
        <v>732</v>
      </c>
      <c r="CO8" s="38"/>
      <c r="CP8" s="3"/>
      <c r="CQ8" s="2"/>
      <c r="CR8" s="2"/>
      <c r="CS8" s="7">
        <v>50</v>
      </c>
      <c r="CT8" s="30" t="s">
        <v>91</v>
      </c>
      <c r="CW8" s="20">
        <v>746</v>
      </c>
      <c r="CX8" s="38"/>
      <c r="CY8" s="3">
        <v>21116.9</v>
      </c>
      <c r="CZ8" s="27">
        <v>5043.1000000000004</v>
      </c>
      <c r="DA8" s="2">
        <v>21160</v>
      </c>
      <c r="DB8" s="12">
        <f t="shared" si="11"/>
        <v>38.083412098298673</v>
      </c>
      <c r="DC8" s="30" t="s">
        <v>15</v>
      </c>
      <c r="DF8" s="20">
        <v>756</v>
      </c>
      <c r="DG8" s="38"/>
      <c r="DH8" s="13">
        <v>11010.3</v>
      </c>
      <c r="DI8" s="11">
        <v>5549.8</v>
      </c>
      <c r="DJ8" s="11">
        <v>17187.2</v>
      </c>
      <c r="DK8" s="12">
        <f t="shared" si="12"/>
        <v>33.854845466393598</v>
      </c>
      <c r="DL8" s="30" t="s">
        <v>81</v>
      </c>
      <c r="DS8" s="50"/>
    </row>
    <row r="9" spans="2:123" x14ac:dyDescent="0.3">
      <c r="B9" s="17">
        <v>615</v>
      </c>
      <c r="C9" s="43"/>
      <c r="D9" s="3">
        <v>22596.9</v>
      </c>
      <c r="E9" s="2">
        <v>107.2</v>
      </c>
      <c r="F9" s="2">
        <v>16300.3</v>
      </c>
      <c r="G9" s="7">
        <f t="shared" si="0"/>
        <v>49.671171696226445</v>
      </c>
      <c r="H9" t="s">
        <v>16</v>
      </c>
      <c r="K9" s="17">
        <v>615</v>
      </c>
      <c r="L9" s="43"/>
      <c r="M9" s="3"/>
      <c r="N9" s="2"/>
      <c r="O9" s="2"/>
      <c r="P9" s="7" t="e">
        <f t="shared" si="1"/>
        <v>#DIV/0!</v>
      </c>
      <c r="Q9" t="s">
        <v>16</v>
      </c>
      <c r="T9" s="20">
        <v>646</v>
      </c>
      <c r="U9" s="43"/>
      <c r="V9" s="3">
        <v>10476.6</v>
      </c>
      <c r="W9" s="2">
        <v>9745.7000000000007</v>
      </c>
      <c r="X9" s="2">
        <v>16371.5</v>
      </c>
      <c r="Y9" s="7">
        <f t="shared" si="2"/>
        <v>20.235775585621351</v>
      </c>
      <c r="Z9" t="s">
        <v>27</v>
      </c>
      <c r="AC9" s="20">
        <v>646</v>
      </c>
      <c r="AD9" s="43"/>
      <c r="AE9" s="3">
        <v>4112.7</v>
      </c>
      <c r="AF9" s="2">
        <v>15337.5</v>
      </c>
      <c r="AG9" s="2">
        <v>17802.5</v>
      </c>
      <c r="AH9" s="7">
        <f t="shared" si="4"/>
        <v>6.92318494593456</v>
      </c>
      <c r="AI9" t="s">
        <v>27</v>
      </c>
      <c r="AL9" s="20">
        <v>655</v>
      </c>
      <c r="AM9" s="43"/>
      <c r="AN9" s="3">
        <v>110.8</v>
      </c>
      <c r="AO9" s="2">
        <v>12978.9</v>
      </c>
      <c r="AP9" s="2">
        <v>13089.5</v>
      </c>
      <c r="AQ9" s="7">
        <f t="shared" si="5"/>
        <v>0.42247603040605208</v>
      </c>
      <c r="AR9" t="s">
        <v>37</v>
      </c>
      <c r="AU9" s="19">
        <v>668</v>
      </c>
      <c r="AV9" s="43"/>
      <c r="AW9" s="3">
        <v>20812.5</v>
      </c>
      <c r="AX9" s="2">
        <v>855.7</v>
      </c>
      <c r="AY9" s="2">
        <v>15932.7</v>
      </c>
      <c r="AZ9" s="7">
        <f t="shared" si="6"/>
        <v>47.314642213811844</v>
      </c>
      <c r="BA9" t="s">
        <v>45</v>
      </c>
      <c r="BD9" s="19">
        <v>681</v>
      </c>
      <c r="BE9" s="43"/>
      <c r="BF9" s="3">
        <v>21636.1</v>
      </c>
      <c r="BG9" s="2">
        <v>352.6</v>
      </c>
      <c r="BH9" s="2">
        <v>17234.5</v>
      </c>
      <c r="BI9" s="12">
        <f t="shared" si="3"/>
        <v>48.977051843685636</v>
      </c>
      <c r="BJ9" t="s">
        <v>58</v>
      </c>
      <c r="BK9" s="40"/>
      <c r="BM9" s="19">
        <v>694</v>
      </c>
      <c r="BN9" s="43"/>
      <c r="BO9" s="28">
        <v>1385.2</v>
      </c>
      <c r="BP9" s="2">
        <v>16528.400000000001</v>
      </c>
      <c r="BQ9" s="29">
        <v>17296.099999999999</v>
      </c>
      <c r="BR9" s="12">
        <f t="shared" si="7"/>
        <v>2.2192864287324805</v>
      </c>
      <c r="BS9" t="s">
        <v>64</v>
      </c>
      <c r="BV9" s="19">
        <v>707</v>
      </c>
      <c r="BW9" s="43"/>
      <c r="BX9" s="28">
        <v>24018.2</v>
      </c>
      <c r="BY9" s="2">
        <v>74.2</v>
      </c>
      <c r="BZ9" s="29">
        <v>22067.1</v>
      </c>
      <c r="CA9" s="12">
        <f t="shared" si="8"/>
        <v>49.831876413303064</v>
      </c>
      <c r="CB9" t="s">
        <v>73</v>
      </c>
      <c r="CC9" s="40"/>
      <c r="CE9" s="19">
        <v>720</v>
      </c>
      <c r="CF9" s="43"/>
      <c r="CG9" s="28">
        <v>17604.5</v>
      </c>
      <c r="CH9" s="2">
        <v>6203.8</v>
      </c>
      <c r="CI9" s="29">
        <v>18295.2</v>
      </c>
      <c r="CJ9" s="12">
        <f t="shared" si="9"/>
        <v>33.045279636188731</v>
      </c>
      <c r="CK9" t="s">
        <v>82</v>
      </c>
      <c r="CN9" s="20">
        <v>733</v>
      </c>
      <c r="CO9" s="38"/>
      <c r="CP9" s="3"/>
      <c r="CQ9" s="2"/>
      <c r="CR9" s="2"/>
      <c r="CS9" s="7">
        <v>50</v>
      </c>
      <c r="CT9" s="30" t="s">
        <v>92</v>
      </c>
      <c r="CW9" s="19">
        <v>747</v>
      </c>
      <c r="CX9" s="38"/>
      <c r="CY9" s="28">
        <v>20539.3</v>
      </c>
      <c r="CZ9" s="2">
        <v>5833.4</v>
      </c>
      <c r="DA9" s="29">
        <v>21443.4</v>
      </c>
      <c r="DB9" s="12">
        <f t="shared" si="11"/>
        <v>36.398145816428368</v>
      </c>
      <c r="DC9" s="30" t="s">
        <v>16</v>
      </c>
      <c r="DF9" s="19">
        <v>757</v>
      </c>
      <c r="DG9" s="38"/>
      <c r="DH9" s="13">
        <v>10091.799999999999</v>
      </c>
      <c r="DI9" s="11">
        <v>6838.3</v>
      </c>
      <c r="DJ9" s="11">
        <v>15890.6</v>
      </c>
      <c r="DK9" s="12">
        <f t="shared" si="12"/>
        <v>28.483191320654978</v>
      </c>
      <c r="DL9" s="30" t="s">
        <v>82</v>
      </c>
      <c r="DS9" s="50"/>
    </row>
    <row r="10" spans="2:123" x14ac:dyDescent="0.3">
      <c r="B10" s="17">
        <v>616</v>
      </c>
      <c r="C10" s="43"/>
      <c r="D10" s="3">
        <v>5249.2</v>
      </c>
      <c r="E10" s="2">
        <v>13289.5</v>
      </c>
      <c r="F10" s="2">
        <v>16659.5</v>
      </c>
      <c r="G10" s="7">
        <f t="shared" si="0"/>
        <v>10.114349170143161</v>
      </c>
      <c r="H10" t="s">
        <v>17</v>
      </c>
      <c r="K10" s="17">
        <v>616</v>
      </c>
      <c r="L10" s="43"/>
      <c r="M10" s="3"/>
      <c r="N10" s="2"/>
      <c r="O10" s="2"/>
      <c r="P10" s="7" t="e">
        <f t="shared" si="1"/>
        <v>#DIV/0!</v>
      </c>
      <c r="Q10" t="s">
        <v>17</v>
      </c>
      <c r="T10" s="20">
        <v>647</v>
      </c>
      <c r="U10" s="43"/>
      <c r="V10" s="3">
        <v>6263.6</v>
      </c>
      <c r="W10" s="2">
        <v>12209.8</v>
      </c>
      <c r="X10" s="2">
        <v>16099.7</v>
      </c>
      <c r="Y10" s="7">
        <f t="shared" si="2"/>
        <v>12.080659888072452</v>
      </c>
      <c r="Z10" t="s">
        <v>28</v>
      </c>
      <c r="AC10" s="20">
        <v>647</v>
      </c>
      <c r="AD10" s="43"/>
      <c r="AE10" s="3">
        <v>1943.9</v>
      </c>
      <c r="AF10" s="2">
        <v>16880.3</v>
      </c>
      <c r="AG10" s="2">
        <v>18076.099999999999</v>
      </c>
      <c r="AH10" s="7">
        <f t="shared" si="4"/>
        <v>3.3076825200126114</v>
      </c>
      <c r="AI10" t="s">
        <v>28</v>
      </c>
      <c r="AL10" s="20">
        <v>656</v>
      </c>
      <c r="AM10" s="43"/>
      <c r="AN10" s="3">
        <v>100</v>
      </c>
      <c r="AO10" s="2">
        <v>13554.9</v>
      </c>
      <c r="AP10" s="2">
        <v>13715.1</v>
      </c>
      <c r="AQ10" s="7">
        <f t="shared" si="5"/>
        <v>0.5840278233479913</v>
      </c>
      <c r="AR10" t="s">
        <v>38</v>
      </c>
      <c r="AU10" s="20">
        <v>669</v>
      </c>
      <c r="AV10" s="43"/>
      <c r="AW10" s="3">
        <v>96.1</v>
      </c>
      <c r="AX10" s="2">
        <v>16071</v>
      </c>
      <c r="AY10" s="2">
        <v>16272.8</v>
      </c>
      <c r="AZ10" s="7">
        <f t="shared" si="6"/>
        <v>0.62005309473476999</v>
      </c>
      <c r="BA10" t="s">
        <v>47</v>
      </c>
      <c r="BD10" s="20">
        <v>682</v>
      </c>
      <c r="BE10" s="43"/>
      <c r="BF10" s="3">
        <v>21572.7</v>
      </c>
      <c r="BG10" s="2">
        <v>381.7</v>
      </c>
      <c r="BH10" s="2">
        <v>17892.400000000001</v>
      </c>
      <c r="BI10" s="12">
        <f t="shared" si="3"/>
        <v>48.933346001654328</v>
      </c>
      <c r="BJ10" t="s">
        <v>59</v>
      </c>
      <c r="BK10" s="40"/>
      <c r="BM10" s="20">
        <v>695</v>
      </c>
      <c r="BN10" s="43"/>
      <c r="BO10" s="3">
        <v>12087.8</v>
      </c>
      <c r="BP10" s="11">
        <v>10292.5</v>
      </c>
      <c r="BQ10" s="2">
        <v>18052.3</v>
      </c>
      <c r="BR10" s="12">
        <f t="shared" si="7"/>
        <v>21.492552195565107</v>
      </c>
      <c r="BS10" s="25" t="s">
        <v>65</v>
      </c>
      <c r="BV10" s="20">
        <v>708</v>
      </c>
      <c r="BW10" s="43"/>
      <c r="BX10" s="3">
        <v>21536.9</v>
      </c>
      <c r="BY10" s="11">
        <v>24</v>
      </c>
      <c r="BZ10" s="2">
        <v>18934.900000000001</v>
      </c>
      <c r="CA10" s="12">
        <f t="shared" si="8"/>
        <v>49.93662496237107</v>
      </c>
      <c r="CB10" s="25" t="s">
        <v>74</v>
      </c>
      <c r="CC10" s="40"/>
      <c r="CE10" s="20">
        <v>721</v>
      </c>
      <c r="CF10" s="43"/>
      <c r="CG10" s="3">
        <v>3777.5</v>
      </c>
      <c r="CH10" s="11">
        <v>15285.8</v>
      </c>
      <c r="CI10" s="2">
        <v>17771.599999999999</v>
      </c>
      <c r="CJ10" s="12">
        <f t="shared" si="9"/>
        <v>6.9937428256319061</v>
      </c>
      <c r="CK10" s="25" t="s">
        <v>83</v>
      </c>
      <c r="CN10" s="20">
        <v>734</v>
      </c>
      <c r="CO10" s="38"/>
      <c r="CP10" s="3"/>
      <c r="CQ10" s="2"/>
      <c r="CR10" s="2"/>
      <c r="CS10" s="7">
        <v>50</v>
      </c>
      <c r="CT10" s="31" t="s">
        <v>93</v>
      </c>
      <c r="CW10" s="20">
        <v>748</v>
      </c>
      <c r="CX10" s="38"/>
      <c r="CY10" s="3">
        <v>19698.7</v>
      </c>
      <c r="CZ10" s="11">
        <v>2888.5</v>
      </c>
      <c r="DA10" s="2">
        <v>17214.5</v>
      </c>
      <c r="DB10" s="12">
        <f t="shared" si="11"/>
        <v>41.610270411571641</v>
      </c>
      <c r="DC10" s="30" t="s">
        <v>23</v>
      </c>
      <c r="DF10" s="20">
        <v>758</v>
      </c>
      <c r="DG10" s="38"/>
      <c r="DH10" s="13">
        <v>11780.2</v>
      </c>
      <c r="DI10" s="11">
        <v>3418.5</v>
      </c>
      <c r="DJ10" s="11">
        <v>11246.4</v>
      </c>
      <c r="DK10" s="12">
        <f t="shared" si="12"/>
        <v>34.801803243704654</v>
      </c>
      <c r="DL10" s="30" t="s">
        <v>44</v>
      </c>
      <c r="DS10" s="50"/>
    </row>
    <row r="11" spans="2:123" ht="15" thickBot="1" x14ac:dyDescent="0.35">
      <c r="B11" s="17">
        <v>617</v>
      </c>
      <c r="C11" s="43"/>
      <c r="D11" s="3">
        <v>467</v>
      </c>
      <c r="E11" s="2">
        <v>15787.2</v>
      </c>
      <c r="F11" s="2">
        <v>16243.1</v>
      </c>
      <c r="G11" s="7">
        <f t="shared" si="0"/>
        <v>1.4033651211899196</v>
      </c>
      <c r="H11" t="s">
        <v>18</v>
      </c>
      <c r="K11" s="17">
        <v>617</v>
      </c>
      <c r="L11" s="43"/>
      <c r="M11" s="3"/>
      <c r="N11" s="2"/>
      <c r="O11" s="2"/>
      <c r="P11" s="7" t="e">
        <f t="shared" si="1"/>
        <v>#DIV/0!</v>
      </c>
      <c r="Q11" t="s">
        <v>18</v>
      </c>
      <c r="T11" s="21">
        <v>648</v>
      </c>
      <c r="U11" s="44"/>
      <c r="V11" s="8">
        <v>13119.7</v>
      </c>
      <c r="W11" s="9">
        <v>8171.7</v>
      </c>
      <c r="X11" s="9">
        <v>17019</v>
      </c>
      <c r="Y11" s="10">
        <f t="shared" si="2"/>
        <v>25.992420236206591</v>
      </c>
      <c r="Z11" t="s">
        <v>29</v>
      </c>
      <c r="AC11" s="21">
        <v>648</v>
      </c>
      <c r="AD11" s="44"/>
      <c r="AE11" s="8">
        <v>12558.9</v>
      </c>
      <c r="AF11" s="9">
        <v>8118.2</v>
      </c>
      <c r="AG11" s="9">
        <v>16671.3</v>
      </c>
      <c r="AH11" s="10">
        <f t="shared" si="4"/>
        <v>25.652168697102201</v>
      </c>
      <c r="AI11" t="s">
        <v>29</v>
      </c>
      <c r="AL11" s="20">
        <v>657</v>
      </c>
      <c r="AM11" s="43"/>
      <c r="AN11" s="3">
        <v>94.6</v>
      </c>
      <c r="AO11" s="2">
        <v>13083</v>
      </c>
      <c r="AP11" s="2">
        <v>13211.5</v>
      </c>
      <c r="AQ11" s="7">
        <f t="shared" si="5"/>
        <v>0.48631873746357335</v>
      </c>
      <c r="AR11" t="s">
        <v>39</v>
      </c>
      <c r="AU11" s="19">
        <v>670</v>
      </c>
      <c r="AV11" s="43"/>
      <c r="AW11" s="3">
        <v>115.3</v>
      </c>
      <c r="AX11" s="2">
        <v>16012.6</v>
      </c>
      <c r="AY11" s="2">
        <v>16259.1</v>
      </c>
      <c r="AZ11" s="7">
        <f t="shared" si="6"/>
        <v>0.75803703772041497</v>
      </c>
      <c r="BA11" t="s">
        <v>48</v>
      </c>
      <c r="BD11" s="19">
        <v>683</v>
      </c>
      <c r="BE11" s="43"/>
      <c r="BF11" s="3">
        <v>21536.5</v>
      </c>
      <c r="BG11" s="2">
        <v>290.10000000000002</v>
      </c>
      <c r="BH11" s="2">
        <v>17292.8</v>
      </c>
      <c r="BI11" s="12">
        <f t="shared" si="3"/>
        <v>49.161211602516659</v>
      </c>
      <c r="BJ11" t="s">
        <v>60</v>
      </c>
      <c r="BK11" s="40"/>
      <c r="BM11" s="19">
        <v>696</v>
      </c>
      <c r="BN11" s="43"/>
      <c r="BO11" s="3">
        <v>1980.4</v>
      </c>
      <c r="BP11" s="2">
        <v>17226.2</v>
      </c>
      <c r="BQ11" s="2">
        <v>18644.5</v>
      </c>
      <c r="BR11" s="12">
        <f t="shared" si="7"/>
        <v>3.8035345544262364</v>
      </c>
      <c r="BS11" t="s">
        <v>66</v>
      </c>
      <c r="BV11" s="19">
        <v>709</v>
      </c>
      <c r="BW11" s="43"/>
      <c r="BX11" s="3">
        <v>23215.200000000001</v>
      </c>
      <c r="BY11" s="2">
        <v>51.4</v>
      </c>
      <c r="BZ11" s="2">
        <v>20463.2</v>
      </c>
      <c r="CA11" s="12">
        <f t="shared" si="8"/>
        <v>49.874408694632308</v>
      </c>
      <c r="CB11" s="25" t="s">
        <v>75</v>
      </c>
      <c r="CC11" s="40"/>
      <c r="CE11" s="19">
        <v>722</v>
      </c>
      <c r="CF11" s="43"/>
      <c r="CG11" s="3">
        <v>705.5</v>
      </c>
      <c r="CH11" s="2">
        <v>17105.2</v>
      </c>
      <c r="CI11" s="2">
        <v>17777.599999999999</v>
      </c>
      <c r="CJ11" s="12">
        <f t="shared" si="9"/>
        <v>1.8911439114391086</v>
      </c>
      <c r="CK11" t="s">
        <v>84</v>
      </c>
      <c r="CL11" s="40" t="s">
        <v>89</v>
      </c>
      <c r="CN11" s="20">
        <v>735</v>
      </c>
      <c r="CO11" s="38"/>
      <c r="CP11" s="3"/>
      <c r="CQ11" s="2"/>
      <c r="CR11" s="2"/>
      <c r="CS11" s="7">
        <v>50</v>
      </c>
      <c r="CT11" s="30" t="s">
        <v>94</v>
      </c>
      <c r="CW11" s="19">
        <v>749</v>
      </c>
      <c r="CX11" s="38"/>
      <c r="CY11" s="3">
        <v>17994.5</v>
      </c>
      <c r="CZ11" s="2">
        <v>5700.1</v>
      </c>
      <c r="DA11" s="2">
        <v>18039.7</v>
      </c>
      <c r="DB11" s="12">
        <f t="shared" si="11"/>
        <v>34.201233945132124</v>
      </c>
      <c r="DC11" s="30" t="s">
        <v>21</v>
      </c>
      <c r="DF11" s="19">
        <v>759</v>
      </c>
      <c r="DG11" s="38"/>
      <c r="DH11" s="13">
        <v>11592.8</v>
      </c>
      <c r="DI11" s="11">
        <v>3412.1</v>
      </c>
      <c r="DJ11" s="11">
        <v>12651.2</v>
      </c>
      <c r="DK11" s="12">
        <f t="shared" si="12"/>
        <v>36.514717971417731</v>
      </c>
      <c r="DL11" s="30" t="s">
        <v>46</v>
      </c>
      <c r="DS11" s="50"/>
    </row>
    <row r="12" spans="2:123" ht="15" thickBot="1" x14ac:dyDescent="0.35">
      <c r="B12" s="18">
        <v>618</v>
      </c>
      <c r="C12" s="44"/>
      <c r="D12" s="8">
        <v>167.3</v>
      </c>
      <c r="E12" s="9">
        <v>17803.8</v>
      </c>
      <c r="F12" s="9">
        <v>18165.3</v>
      </c>
      <c r="G12" s="10">
        <f t="shared" si="0"/>
        <v>0.99502898383181126</v>
      </c>
      <c r="H12" t="s">
        <v>19</v>
      </c>
      <c r="K12" s="18">
        <v>618</v>
      </c>
      <c r="L12" s="44"/>
      <c r="M12" s="8"/>
      <c r="N12" s="9"/>
      <c r="O12" s="9"/>
      <c r="P12" s="10" t="e">
        <f t="shared" si="1"/>
        <v>#DIV/0!</v>
      </c>
      <c r="Q12" t="s">
        <v>19</v>
      </c>
      <c r="AL12" s="20">
        <v>658</v>
      </c>
      <c r="AM12" s="43"/>
      <c r="AN12" s="2">
        <v>116.2</v>
      </c>
      <c r="AO12" s="2">
        <v>13380</v>
      </c>
      <c r="AP12" s="2">
        <v>13492.1</v>
      </c>
      <c r="AQ12" s="7">
        <f t="shared" si="5"/>
        <v>0.41542828766463469</v>
      </c>
      <c r="AR12" t="s">
        <v>40</v>
      </c>
      <c r="AU12" s="20">
        <v>671</v>
      </c>
      <c r="AV12" s="43"/>
      <c r="AW12" s="2">
        <v>144.4</v>
      </c>
      <c r="AX12" s="2">
        <v>16384.599999999999</v>
      </c>
      <c r="AY12" s="2">
        <v>16637.599999999999</v>
      </c>
      <c r="AZ12" s="7">
        <f t="shared" si="6"/>
        <v>0.76032600855892685</v>
      </c>
      <c r="BA12" t="s">
        <v>49</v>
      </c>
      <c r="BD12" s="20">
        <v>684</v>
      </c>
      <c r="BE12" s="43"/>
      <c r="BF12" s="2">
        <v>21634.3</v>
      </c>
      <c r="BG12" s="2">
        <v>239.8</v>
      </c>
      <c r="BH12" s="2">
        <v>17985.599999999999</v>
      </c>
      <c r="BI12" s="12">
        <f t="shared" si="3"/>
        <v>49.333355573347568</v>
      </c>
      <c r="BJ12" t="s">
        <v>61</v>
      </c>
      <c r="BK12" s="40"/>
      <c r="BM12" s="20">
        <v>697</v>
      </c>
      <c r="BN12" s="43"/>
      <c r="BO12" s="2">
        <v>241.7</v>
      </c>
      <c r="BP12" s="2">
        <v>15881.2</v>
      </c>
      <c r="BQ12" s="2">
        <v>16110.8</v>
      </c>
      <c r="BR12" s="12">
        <f t="shared" si="7"/>
        <v>0.71256548402313524</v>
      </c>
      <c r="BS12" t="s">
        <v>67</v>
      </c>
      <c r="BV12" s="20">
        <v>710</v>
      </c>
      <c r="BW12" s="43"/>
      <c r="BX12" s="2">
        <v>24521.5</v>
      </c>
      <c r="BY12" s="2">
        <v>63.5</v>
      </c>
      <c r="BZ12" s="2">
        <v>21153.9</v>
      </c>
      <c r="CA12" s="12">
        <f t="shared" si="8"/>
        <v>49.849909472957705</v>
      </c>
      <c r="CB12" s="25" t="s">
        <v>76</v>
      </c>
      <c r="CC12" s="40"/>
      <c r="CE12" s="20">
        <v>723</v>
      </c>
      <c r="CF12" s="43"/>
      <c r="CG12" s="2">
        <v>207.4</v>
      </c>
      <c r="CH12" s="2">
        <v>17762.5</v>
      </c>
      <c r="CI12" s="2">
        <v>18134.400000000001</v>
      </c>
      <c r="CJ12" s="12">
        <f t="shared" si="9"/>
        <v>1.0253992412211086</v>
      </c>
      <c r="CK12" t="s">
        <v>85</v>
      </c>
      <c r="CL12" s="40"/>
      <c r="CN12" s="20">
        <v>736</v>
      </c>
      <c r="CO12" s="38"/>
      <c r="CP12" s="2"/>
      <c r="CQ12" s="2"/>
      <c r="CR12" s="2"/>
      <c r="CS12" s="7">
        <v>50</v>
      </c>
      <c r="CT12" s="30" t="s">
        <v>95</v>
      </c>
      <c r="CW12" s="21">
        <v>750</v>
      </c>
      <c r="CX12" s="39"/>
      <c r="CY12" s="9">
        <v>17957.3</v>
      </c>
      <c r="CZ12" s="9">
        <v>4520.8</v>
      </c>
      <c r="DA12" s="9">
        <v>17332.900000000001</v>
      </c>
      <c r="DB12" s="10">
        <f t="shared" si="11"/>
        <v>36.958904741849317</v>
      </c>
      <c r="DC12" s="30" t="s">
        <v>22</v>
      </c>
      <c r="DF12" s="52">
        <v>760</v>
      </c>
      <c r="DG12" s="38"/>
      <c r="DH12" s="36">
        <v>5470.8</v>
      </c>
      <c r="DI12" s="53">
        <v>8658.2000000000007</v>
      </c>
      <c r="DJ12" s="53">
        <v>11986.7</v>
      </c>
      <c r="DK12" s="54">
        <f t="shared" si="12"/>
        <v>13.884138253230663</v>
      </c>
      <c r="DL12" s="30" t="s">
        <v>45</v>
      </c>
      <c r="DS12" s="50"/>
    </row>
    <row r="13" spans="2:123" x14ac:dyDescent="0.3">
      <c r="K13" s="1"/>
      <c r="L13" s="1"/>
      <c r="M13" s="1"/>
      <c r="AL13" s="20">
        <v>659</v>
      </c>
      <c r="AM13" s="43"/>
      <c r="AN13" s="2">
        <v>86.8</v>
      </c>
      <c r="AO13" s="2">
        <v>13521.4</v>
      </c>
      <c r="AP13" s="2">
        <v>13642</v>
      </c>
      <c r="AQ13" s="7">
        <f t="shared" si="5"/>
        <v>0.44201729951620128</v>
      </c>
      <c r="AR13" t="s">
        <v>41</v>
      </c>
      <c r="AU13" s="19">
        <v>672</v>
      </c>
      <c r="AV13" s="43"/>
      <c r="AW13" s="2">
        <v>8492.7999999999993</v>
      </c>
      <c r="AX13" s="2">
        <v>11078.7</v>
      </c>
      <c r="AY13" s="2">
        <v>16555.7</v>
      </c>
      <c r="AZ13" s="7">
        <f t="shared" si="6"/>
        <v>16.541130849193934</v>
      </c>
      <c r="BA13" t="s">
        <v>50</v>
      </c>
      <c r="BD13" s="19">
        <v>685</v>
      </c>
      <c r="BE13" s="43"/>
      <c r="BF13" s="2">
        <v>5041.3</v>
      </c>
      <c r="BG13" s="2">
        <v>14187</v>
      </c>
      <c r="BH13" s="2">
        <v>17360.5</v>
      </c>
      <c r="BI13" s="12">
        <f t="shared" si="3"/>
        <v>9.1400017280608274</v>
      </c>
      <c r="BJ13" t="s">
        <v>53</v>
      </c>
      <c r="BM13" s="19">
        <v>698</v>
      </c>
      <c r="BN13" s="43"/>
      <c r="BO13" s="2">
        <v>344.5</v>
      </c>
      <c r="BP13" s="2">
        <v>18292.599999999999</v>
      </c>
      <c r="BQ13" s="2">
        <v>18723.3</v>
      </c>
      <c r="BR13" s="12">
        <f t="shared" si="7"/>
        <v>1.1501711770895107</v>
      </c>
      <c r="BS13" s="25" t="s">
        <v>68</v>
      </c>
      <c r="BV13" s="19">
        <v>711</v>
      </c>
      <c r="BW13" s="43"/>
      <c r="BX13" s="2">
        <v>20590.400000000001</v>
      </c>
      <c r="BY13" s="2">
        <v>6439.7</v>
      </c>
      <c r="BZ13" s="2">
        <v>22806.1</v>
      </c>
      <c r="CA13" s="12">
        <f t="shared" si="8"/>
        <v>35.881628160886777</v>
      </c>
      <c r="CB13" s="25" t="s">
        <v>77</v>
      </c>
      <c r="CE13" s="19">
        <v>724</v>
      </c>
      <c r="CF13" s="43"/>
      <c r="CG13" s="2">
        <v>22931.1</v>
      </c>
      <c r="CH13" s="2">
        <v>50</v>
      </c>
      <c r="CI13" s="2">
        <v>18156.7</v>
      </c>
      <c r="CJ13" s="12">
        <f t="shared" si="9"/>
        <v>49.862309780962399</v>
      </c>
      <c r="CK13" s="25" t="s">
        <v>86</v>
      </c>
      <c r="CL13" s="40"/>
      <c r="CN13" s="20">
        <v>737</v>
      </c>
      <c r="CO13" s="38"/>
      <c r="CP13" s="2"/>
      <c r="CQ13" s="2"/>
      <c r="CR13" s="2"/>
      <c r="CS13" s="7">
        <v>50</v>
      </c>
      <c r="CT13" s="31" t="s">
        <v>98</v>
      </c>
      <c r="CX13" s="32"/>
      <c r="DF13" s="48"/>
      <c r="DG13" s="55"/>
      <c r="DH13" s="49"/>
      <c r="DI13" s="48"/>
      <c r="DJ13" s="48"/>
      <c r="DK13" s="48"/>
      <c r="DS13" s="50"/>
    </row>
    <row r="14" spans="2:123" ht="15" thickBot="1" x14ac:dyDescent="0.35">
      <c r="K14" s="1"/>
      <c r="L14" s="1"/>
      <c r="M14" s="1"/>
      <c r="AL14" s="20">
        <v>660</v>
      </c>
      <c r="AM14" s="43"/>
      <c r="AN14" s="2">
        <v>91.5</v>
      </c>
      <c r="AO14" s="2">
        <v>12529.9</v>
      </c>
      <c r="AP14" s="2">
        <v>12616.7</v>
      </c>
      <c r="AQ14" s="7">
        <f t="shared" si="5"/>
        <v>0.34398852314789558</v>
      </c>
      <c r="AR14" t="s">
        <v>43</v>
      </c>
      <c r="AU14" s="20">
        <v>673</v>
      </c>
      <c r="AV14" s="43"/>
      <c r="AW14" s="2">
        <v>1118.9000000000001</v>
      </c>
      <c r="AX14" s="2">
        <v>16027.2</v>
      </c>
      <c r="AY14" s="2">
        <v>16848.900000000001</v>
      </c>
      <c r="AZ14" s="7">
        <f t="shared" si="6"/>
        <v>2.4384381176219239</v>
      </c>
      <c r="BA14" t="s">
        <v>51</v>
      </c>
      <c r="BD14" s="20">
        <v>686</v>
      </c>
      <c r="BE14" s="43"/>
      <c r="BF14" s="2">
        <v>1071.9000000000001</v>
      </c>
      <c r="BG14" s="2">
        <v>16834.2</v>
      </c>
      <c r="BH14" s="2">
        <v>17474.2</v>
      </c>
      <c r="BI14" s="12">
        <f t="shared" si="3"/>
        <v>1.8312712456078104</v>
      </c>
      <c r="BJ14" t="s">
        <v>54</v>
      </c>
      <c r="BM14" s="20">
        <v>699</v>
      </c>
      <c r="BN14" s="43"/>
      <c r="BO14" s="2">
        <v>175</v>
      </c>
      <c r="BP14" s="2">
        <v>18168.7</v>
      </c>
      <c r="BQ14" s="2">
        <v>18585.599999999999</v>
      </c>
      <c r="BR14" s="12">
        <f t="shared" si="7"/>
        <v>1.1215672348484791</v>
      </c>
      <c r="BS14" t="s">
        <v>69</v>
      </c>
      <c r="BV14" s="20">
        <v>712</v>
      </c>
      <c r="BW14" s="43"/>
      <c r="BX14" s="2">
        <v>6689</v>
      </c>
      <c r="BY14" s="2">
        <v>18165.400000000001</v>
      </c>
      <c r="BZ14" s="2">
        <v>22692.9</v>
      </c>
      <c r="CA14" s="12">
        <f t="shared" si="8"/>
        <v>9.9755870778966091</v>
      </c>
      <c r="CB14" t="s">
        <v>78</v>
      </c>
      <c r="CE14" s="20">
        <v>725</v>
      </c>
      <c r="CF14" s="43"/>
      <c r="CG14" s="2">
        <v>23682.9</v>
      </c>
      <c r="CH14" s="2">
        <v>38.799999999999997</v>
      </c>
      <c r="CI14" s="2">
        <v>19108.3</v>
      </c>
      <c r="CJ14" s="12">
        <f t="shared" si="9"/>
        <v>49.898473438244118</v>
      </c>
      <c r="CK14" t="s">
        <v>87</v>
      </c>
      <c r="CL14" s="40"/>
      <c r="CN14" s="20">
        <v>738</v>
      </c>
      <c r="CO14" s="38"/>
      <c r="CP14" s="2"/>
      <c r="CQ14" s="2"/>
      <c r="CR14" s="2"/>
      <c r="CS14" s="7">
        <v>50</v>
      </c>
      <c r="CT14" s="30" t="s">
        <v>97</v>
      </c>
      <c r="CX14" s="32"/>
      <c r="DF14" s="48"/>
      <c r="DG14" s="55"/>
      <c r="DH14" s="49"/>
      <c r="DI14" s="48"/>
      <c r="DJ14" s="48"/>
      <c r="DK14" s="48"/>
      <c r="DS14" s="50"/>
    </row>
    <row r="15" spans="2:123" ht="15" thickBot="1" x14ac:dyDescent="0.35">
      <c r="B15" s="16">
        <v>609</v>
      </c>
      <c r="C15" s="42" t="s">
        <v>1</v>
      </c>
      <c r="D15" s="4">
        <v>17016.5</v>
      </c>
      <c r="E15" s="5">
        <v>346.7</v>
      </c>
      <c r="F15" s="5">
        <v>13475.6</v>
      </c>
      <c r="G15" s="6">
        <f t="shared" si="0"/>
        <v>48.713600878625066</v>
      </c>
      <c r="H15" t="s">
        <v>10</v>
      </c>
      <c r="K15" s="16">
        <v>609</v>
      </c>
      <c r="L15" s="42" t="s">
        <v>1</v>
      </c>
      <c r="M15" s="4"/>
      <c r="N15" s="5"/>
      <c r="O15" s="5"/>
      <c r="P15" s="6" t="e">
        <f t="shared" si="1"/>
        <v>#DIV/0!</v>
      </c>
      <c r="Q15" t="s">
        <v>10</v>
      </c>
      <c r="T15" s="22">
        <v>640</v>
      </c>
      <c r="U15" s="42" t="s">
        <v>1</v>
      </c>
      <c r="V15" s="4">
        <v>22279.599999999999</v>
      </c>
      <c r="W15" s="5">
        <v>127.5</v>
      </c>
      <c r="X15" s="5">
        <v>16979.8</v>
      </c>
      <c r="Y15" s="6">
        <f t="shared" si="2"/>
        <v>49.624553881671162</v>
      </c>
      <c r="Z15" t="s">
        <v>21</v>
      </c>
      <c r="AC15" s="22">
        <v>640</v>
      </c>
      <c r="AD15" s="42" t="s">
        <v>1</v>
      </c>
      <c r="AE15" s="4">
        <v>21995.3</v>
      </c>
      <c r="AF15" s="5">
        <v>69.2</v>
      </c>
      <c r="AG15" s="5">
        <v>16412.7</v>
      </c>
      <c r="AH15" s="6">
        <f>((AG15-AF15)/(2*AG15))*100</f>
        <v>49.789187641277785</v>
      </c>
      <c r="AI15" t="s">
        <v>21</v>
      </c>
      <c r="AL15" s="21">
        <v>661</v>
      </c>
      <c r="AM15" s="44"/>
      <c r="AN15" s="9">
        <v>89.2</v>
      </c>
      <c r="AO15" s="9">
        <v>11339.1</v>
      </c>
      <c r="AP15" s="9">
        <v>11429.7</v>
      </c>
      <c r="AQ15" s="10">
        <f t="shared" si="5"/>
        <v>0.3963358618336455</v>
      </c>
      <c r="AR15" t="s">
        <v>42</v>
      </c>
      <c r="AU15" s="19">
        <v>674</v>
      </c>
      <c r="AV15" s="44"/>
      <c r="AW15" s="9">
        <v>288.89999999999998</v>
      </c>
      <c r="AX15" s="9">
        <v>17524.2</v>
      </c>
      <c r="AY15" s="9">
        <v>17871</v>
      </c>
      <c r="AZ15" s="10">
        <f t="shared" si="6"/>
        <v>0.970287057243577</v>
      </c>
      <c r="BA15" t="s">
        <v>52</v>
      </c>
      <c r="BD15" s="24">
        <v>687</v>
      </c>
      <c r="BE15" s="44"/>
      <c r="BF15" s="9">
        <v>725.4</v>
      </c>
      <c r="BG15" s="9">
        <v>17435.7</v>
      </c>
      <c r="BH15" s="9">
        <v>17801.8</v>
      </c>
      <c r="BI15" s="26">
        <f t="shared" si="3"/>
        <v>1.0282668044804417</v>
      </c>
      <c r="BJ15" t="s">
        <v>55</v>
      </c>
      <c r="BM15" s="24">
        <v>700</v>
      </c>
      <c r="BN15" s="44"/>
      <c r="BO15" s="9">
        <v>151</v>
      </c>
      <c r="BP15" s="9">
        <v>18538.400000000001</v>
      </c>
      <c r="BQ15" s="9">
        <v>19100.099999999999</v>
      </c>
      <c r="BR15" s="26">
        <f t="shared" si="7"/>
        <v>1.4704111496798371</v>
      </c>
      <c r="BS15" t="s">
        <v>70</v>
      </c>
      <c r="BV15" s="24">
        <v>713</v>
      </c>
      <c r="BW15" s="44"/>
      <c r="BX15" s="9">
        <v>972</v>
      </c>
      <c r="BY15" s="9">
        <v>18705.900000000001</v>
      </c>
      <c r="BZ15" s="9">
        <v>19575.900000000001</v>
      </c>
      <c r="CA15" s="26">
        <f t="shared" si="8"/>
        <v>2.222120055782876</v>
      </c>
      <c r="CB15" t="s">
        <v>79</v>
      </c>
      <c r="CE15" s="24">
        <v>726</v>
      </c>
      <c r="CF15" s="44"/>
      <c r="CG15" s="9">
        <v>22430.5</v>
      </c>
      <c r="CH15" s="9">
        <v>40.4</v>
      </c>
      <c r="CI15" s="9">
        <v>18076.099999999999</v>
      </c>
      <c r="CJ15" s="26">
        <f t="shared" si="9"/>
        <v>49.888250230967955</v>
      </c>
      <c r="CK15" t="s">
        <v>88</v>
      </c>
      <c r="CL15" s="40"/>
      <c r="CN15" s="20">
        <v>739</v>
      </c>
      <c r="CO15" s="38"/>
      <c r="CP15" s="2"/>
      <c r="CQ15" s="2"/>
      <c r="CR15" s="2"/>
      <c r="CS15" s="7">
        <v>50</v>
      </c>
      <c r="CT15" s="30" t="s">
        <v>96</v>
      </c>
      <c r="CX15" s="32"/>
      <c r="DF15" s="48"/>
      <c r="DG15" s="55"/>
      <c r="DH15" s="49"/>
      <c r="DI15" s="48"/>
      <c r="DJ15" s="48"/>
      <c r="DK15" s="48"/>
      <c r="DS15" s="50"/>
    </row>
    <row r="16" spans="2:123" ht="15" thickBot="1" x14ac:dyDescent="0.35">
      <c r="B16" s="17">
        <v>610</v>
      </c>
      <c r="C16" s="43"/>
      <c r="D16" s="3">
        <v>17737.599999999999</v>
      </c>
      <c r="E16" s="2">
        <v>3948.8</v>
      </c>
      <c r="F16" s="2">
        <v>16764</v>
      </c>
      <c r="G16" s="7">
        <f t="shared" si="0"/>
        <v>38.222381293247437</v>
      </c>
      <c r="H16" t="s">
        <v>11</v>
      </c>
      <c r="K16" s="17">
        <v>610</v>
      </c>
      <c r="L16" s="43"/>
      <c r="M16" s="3"/>
      <c r="N16" s="2"/>
      <c r="O16" s="2"/>
      <c r="P16" s="7" t="e">
        <f t="shared" si="1"/>
        <v>#DIV/0!</v>
      </c>
      <c r="Q16" t="s">
        <v>11</v>
      </c>
      <c r="T16" s="20">
        <v>641</v>
      </c>
      <c r="U16" s="43"/>
      <c r="V16" s="3">
        <v>22084.1</v>
      </c>
      <c r="W16" s="2">
        <v>80.599999999999994</v>
      </c>
      <c r="X16" s="2">
        <v>16506.3</v>
      </c>
      <c r="Y16" s="7">
        <f t="shared" si="2"/>
        <v>49.755850796362608</v>
      </c>
      <c r="Z16" t="s">
        <v>22</v>
      </c>
      <c r="AC16" s="20">
        <v>641</v>
      </c>
      <c r="AD16" s="43"/>
      <c r="AE16" s="3">
        <v>22012.2</v>
      </c>
      <c r="AF16" s="2">
        <v>54.7</v>
      </c>
      <c r="AG16" s="2">
        <v>15768.9</v>
      </c>
      <c r="AH16" s="7">
        <f t="shared" si="4"/>
        <v>49.826557337544152</v>
      </c>
      <c r="AI16" t="s">
        <v>22</v>
      </c>
      <c r="CN16" s="21">
        <v>740</v>
      </c>
      <c r="CO16" s="39"/>
      <c r="CP16" s="9">
        <v>15241.4</v>
      </c>
      <c r="CQ16" s="9">
        <v>7852.6</v>
      </c>
      <c r="CR16" s="9">
        <v>18811</v>
      </c>
      <c r="CS16" s="10">
        <f t="shared" si="10"/>
        <v>29.127638084099729</v>
      </c>
      <c r="CT16" s="30" t="s">
        <v>99</v>
      </c>
      <c r="DF16" s="48"/>
      <c r="DG16" s="48"/>
      <c r="DH16" s="49"/>
      <c r="DI16" s="48"/>
      <c r="DJ16" s="48"/>
      <c r="DK16" s="48"/>
      <c r="DS16" s="50"/>
    </row>
    <row r="17" spans="2:123" x14ac:dyDescent="0.3">
      <c r="B17" s="17">
        <v>611</v>
      </c>
      <c r="C17" s="43"/>
      <c r="D17" s="3">
        <v>9982.7000000000007</v>
      </c>
      <c r="E17" s="2">
        <v>9965</v>
      </c>
      <c r="F17" s="2">
        <v>16398.599999999999</v>
      </c>
      <c r="G17" s="7">
        <f t="shared" si="0"/>
        <v>19.616308709280059</v>
      </c>
      <c r="H17" t="s">
        <v>12</v>
      </c>
      <c r="K17" s="17">
        <v>611</v>
      </c>
      <c r="L17" s="43"/>
      <c r="M17" s="3"/>
      <c r="N17" s="2"/>
      <c r="O17" s="2"/>
      <c r="P17" s="7" t="e">
        <f t="shared" si="1"/>
        <v>#DIV/0!</v>
      </c>
      <c r="Q17" t="s">
        <v>12</v>
      </c>
      <c r="T17" s="20">
        <v>642</v>
      </c>
      <c r="U17" s="43"/>
      <c r="V17" s="3">
        <v>21291.8</v>
      </c>
      <c r="W17" s="2">
        <v>319.3</v>
      </c>
      <c r="X17" s="2">
        <v>16436.2</v>
      </c>
      <c r="Y17" s="7">
        <f t="shared" si="2"/>
        <v>49.028668427008675</v>
      </c>
      <c r="Z17" t="s">
        <v>23</v>
      </c>
      <c r="AC17" s="20">
        <v>642</v>
      </c>
      <c r="AD17" s="43"/>
      <c r="AE17" s="3">
        <v>21803</v>
      </c>
      <c r="AF17" s="2">
        <v>37.1</v>
      </c>
      <c r="AG17" s="2">
        <v>16525.2</v>
      </c>
      <c r="AH17" s="7">
        <f t="shared" si="4"/>
        <v>49.887747198218484</v>
      </c>
      <c r="AI17" t="s">
        <v>23</v>
      </c>
      <c r="DF17" s="48"/>
      <c r="DG17" s="48"/>
      <c r="DH17" s="49"/>
      <c r="DI17" s="48"/>
      <c r="DJ17" s="48"/>
      <c r="DK17" s="48"/>
      <c r="DS17" s="50"/>
    </row>
    <row r="18" spans="2:123" ht="15" thickBot="1" x14ac:dyDescent="0.35">
      <c r="B18" s="17">
        <v>612</v>
      </c>
      <c r="C18" s="43"/>
      <c r="D18" s="3">
        <v>3167.7</v>
      </c>
      <c r="E18" s="2">
        <v>14624.6</v>
      </c>
      <c r="F18" s="2">
        <v>16618.900000000001</v>
      </c>
      <c r="G18" s="7">
        <f t="shared" si="0"/>
        <v>6.0000962759268095</v>
      </c>
      <c r="H18" t="s">
        <v>13</v>
      </c>
      <c r="K18" s="17">
        <v>612</v>
      </c>
      <c r="L18" s="43"/>
      <c r="M18" s="3"/>
      <c r="N18" s="2"/>
      <c r="O18" s="2"/>
      <c r="P18" s="7" t="e">
        <f t="shared" si="1"/>
        <v>#DIV/0!</v>
      </c>
      <c r="Q18" t="s">
        <v>13</v>
      </c>
      <c r="T18" s="20">
        <v>643</v>
      </c>
      <c r="U18" s="43"/>
      <c r="V18" s="3">
        <v>12291.1</v>
      </c>
      <c r="W18" s="2">
        <v>901.5</v>
      </c>
      <c r="X18" s="2">
        <v>1604.3</v>
      </c>
      <c r="Y18" s="7">
        <f t="shared" si="2"/>
        <v>21.90363398366889</v>
      </c>
      <c r="Z18" t="s">
        <v>24</v>
      </c>
      <c r="AC18" s="20">
        <v>643</v>
      </c>
      <c r="AD18" s="43"/>
      <c r="AE18" s="3">
        <v>20660.8</v>
      </c>
      <c r="AF18" s="2">
        <v>49.3</v>
      </c>
      <c r="AG18" s="2">
        <v>16548.2</v>
      </c>
      <c r="AH18" s="7">
        <f t="shared" si="4"/>
        <v>49.851041200855683</v>
      </c>
      <c r="AI18" t="s">
        <v>30</v>
      </c>
      <c r="DF18" s="48"/>
      <c r="DG18" s="48"/>
      <c r="DH18" s="49"/>
      <c r="DI18" s="48"/>
      <c r="DJ18" s="48"/>
      <c r="DK18" s="48"/>
      <c r="DS18" s="50"/>
    </row>
    <row r="19" spans="2:123" x14ac:dyDescent="0.3">
      <c r="B19" s="17">
        <v>613</v>
      </c>
      <c r="C19" s="43"/>
      <c r="D19" s="3">
        <v>20856.8</v>
      </c>
      <c r="E19" s="2">
        <v>151.4</v>
      </c>
      <c r="F19" s="2">
        <v>16445.599999999999</v>
      </c>
      <c r="G19" s="7">
        <f t="shared" si="0"/>
        <v>49.539694507953499</v>
      </c>
      <c r="H19" t="s">
        <v>14</v>
      </c>
      <c r="K19" s="17">
        <v>613</v>
      </c>
      <c r="L19" s="43"/>
      <c r="M19" s="3"/>
      <c r="N19" s="2"/>
      <c r="O19" s="2"/>
      <c r="P19" s="7" t="e">
        <f t="shared" si="1"/>
        <v>#DIV/0!</v>
      </c>
      <c r="Q19" t="s">
        <v>14</v>
      </c>
      <c r="T19" s="20">
        <v>644</v>
      </c>
      <c r="U19" s="43"/>
      <c r="V19" s="3">
        <v>19171.5</v>
      </c>
      <c r="W19" s="2">
        <v>1594.2</v>
      </c>
      <c r="X19" s="2">
        <v>16805.8</v>
      </c>
      <c r="Y19" s="7">
        <f t="shared" si="2"/>
        <v>45.256994609004032</v>
      </c>
      <c r="Z19" t="s">
        <v>26</v>
      </c>
      <c r="AC19" s="20">
        <v>644</v>
      </c>
      <c r="AD19" s="43"/>
      <c r="AE19" s="3">
        <v>20772.5</v>
      </c>
      <c r="AF19" s="2">
        <v>32.6</v>
      </c>
      <c r="AG19" s="2">
        <v>16509.5</v>
      </c>
      <c r="AH19" s="7">
        <f t="shared" si="4"/>
        <v>49.90126896635271</v>
      </c>
      <c r="AI19" t="s">
        <v>26</v>
      </c>
      <c r="AL19" s="22">
        <v>649</v>
      </c>
      <c r="AM19" s="42" t="s">
        <v>1</v>
      </c>
      <c r="AN19" s="4">
        <v>20789.900000000001</v>
      </c>
      <c r="AO19" s="5">
        <v>31.2</v>
      </c>
      <c r="AP19" s="5">
        <v>17130.2</v>
      </c>
      <c r="AQ19" s="6">
        <f>((AP19-AO19)/(2*AP19))*100</f>
        <v>49.908932762022623</v>
      </c>
      <c r="AR19" t="s">
        <v>10</v>
      </c>
      <c r="AU19" s="22">
        <v>662</v>
      </c>
      <c r="AV19" s="42" t="s">
        <v>1</v>
      </c>
      <c r="AW19" s="4">
        <v>20491.900000000001</v>
      </c>
      <c r="AX19" s="5">
        <v>59.1</v>
      </c>
      <c r="AY19" s="5">
        <v>16502.7</v>
      </c>
      <c r="AZ19" s="6">
        <f>((AY19-AX19)/(2*AY19))*100</f>
        <v>49.82093839189951</v>
      </c>
      <c r="BA19" t="s">
        <v>10</v>
      </c>
      <c r="BD19" s="22">
        <v>675</v>
      </c>
      <c r="BE19" s="42" t="s">
        <v>1</v>
      </c>
      <c r="BF19" s="4">
        <v>20866.599999999999</v>
      </c>
      <c r="BG19" s="5">
        <v>299.7</v>
      </c>
      <c r="BH19" s="5">
        <v>18077.8</v>
      </c>
      <c r="BI19" s="6">
        <f t="shared" si="3"/>
        <v>49.171082764495679</v>
      </c>
      <c r="BJ19" t="s">
        <v>10</v>
      </c>
      <c r="BM19" s="22">
        <v>688</v>
      </c>
      <c r="BN19" s="42" t="s">
        <v>1</v>
      </c>
      <c r="BO19" s="4">
        <v>22319.200000000001</v>
      </c>
      <c r="BP19" s="5">
        <v>85</v>
      </c>
      <c r="BQ19" s="5">
        <v>19725.099999999999</v>
      </c>
      <c r="BR19" s="6">
        <f>((BQ19-BP19)/(2*BQ19))*100</f>
        <v>49.784538481427212</v>
      </c>
      <c r="BS19" t="s">
        <v>10</v>
      </c>
      <c r="BV19" s="22">
        <v>701</v>
      </c>
      <c r="BW19" s="42" t="s">
        <v>1</v>
      </c>
      <c r="BX19" s="4">
        <v>24256.400000000001</v>
      </c>
      <c r="BY19" s="5">
        <v>49.8</v>
      </c>
      <c r="BZ19" s="5">
        <v>23490.7</v>
      </c>
      <c r="CA19" s="6">
        <f>((BZ19-BY19)/(2*BZ19))*100</f>
        <v>49.894000604494551</v>
      </c>
      <c r="CB19" t="s">
        <v>10</v>
      </c>
      <c r="CE19" s="22">
        <v>714</v>
      </c>
      <c r="CF19" s="42" t="s">
        <v>1</v>
      </c>
      <c r="CG19" s="4">
        <v>20918.599999999999</v>
      </c>
      <c r="CH19" s="5">
        <v>71.7</v>
      </c>
      <c r="CI19" s="5">
        <v>17563.8</v>
      </c>
      <c r="CJ19" s="6">
        <f>((CI19-CH19)/(2*CI19))*100</f>
        <v>49.795886994841659</v>
      </c>
      <c r="CK19" t="s">
        <v>10</v>
      </c>
      <c r="CN19" s="22">
        <v>727</v>
      </c>
      <c r="CO19" s="37" t="s">
        <v>1</v>
      </c>
      <c r="CP19" s="4">
        <v>20048.400000000001</v>
      </c>
      <c r="CQ19" s="5">
        <v>0</v>
      </c>
      <c r="CR19" s="5">
        <v>17623.400000000001</v>
      </c>
      <c r="CS19" s="6">
        <f>((CR19-CQ19)/(2*CR19))*100</f>
        <v>50</v>
      </c>
      <c r="CT19" s="30" t="s">
        <v>10</v>
      </c>
      <c r="CW19" s="22">
        <v>741</v>
      </c>
      <c r="CX19" s="37" t="s">
        <v>101</v>
      </c>
      <c r="CY19" s="4">
        <v>18252.099999999999</v>
      </c>
      <c r="CZ19" s="5">
        <v>2463.4</v>
      </c>
      <c r="DA19" s="5">
        <v>17529.8</v>
      </c>
      <c r="DB19" s="6">
        <f>((DA19-CZ19)/(2*DA19))*100</f>
        <v>42.973679106435895</v>
      </c>
      <c r="DC19" t="s">
        <v>10</v>
      </c>
      <c r="DF19" s="19">
        <v>751</v>
      </c>
      <c r="DG19" s="38" t="s">
        <v>101</v>
      </c>
      <c r="DH19" s="13">
        <v>13691.7</v>
      </c>
      <c r="DI19" s="11">
        <v>2084.6</v>
      </c>
      <c r="DJ19" s="11">
        <v>13032.2</v>
      </c>
      <c r="DK19" s="12">
        <f>((DJ19-DI19)/(2*DJ19))*100</f>
        <v>42.002117831218058</v>
      </c>
      <c r="DL19" t="s">
        <v>10</v>
      </c>
      <c r="DS19" s="50"/>
    </row>
    <row r="20" spans="2:123" x14ac:dyDescent="0.3">
      <c r="B20" s="17">
        <v>614</v>
      </c>
      <c r="C20" s="43"/>
      <c r="D20" s="3">
        <v>420</v>
      </c>
      <c r="E20" s="2">
        <v>0</v>
      </c>
      <c r="F20" s="2">
        <v>69</v>
      </c>
      <c r="G20" s="7">
        <f t="shared" si="0"/>
        <v>50</v>
      </c>
      <c r="H20" t="s">
        <v>15</v>
      </c>
      <c r="K20" s="17">
        <v>614</v>
      </c>
      <c r="L20" s="43"/>
      <c r="M20" s="3"/>
      <c r="N20" s="2"/>
      <c r="O20" s="2"/>
      <c r="P20" s="7" t="e">
        <f t="shared" si="1"/>
        <v>#DIV/0!</v>
      </c>
      <c r="Q20" t="s">
        <v>15</v>
      </c>
      <c r="T20" s="20">
        <v>645</v>
      </c>
      <c r="U20" s="43"/>
      <c r="V20" s="3">
        <v>20043.599999999999</v>
      </c>
      <c r="W20" s="2">
        <v>1623</v>
      </c>
      <c r="X20" s="2">
        <v>17592.7</v>
      </c>
      <c r="Y20" s="7">
        <f t="shared" si="2"/>
        <v>45.387291319695102</v>
      </c>
      <c r="Z20" t="s">
        <v>25</v>
      </c>
      <c r="AC20" s="20">
        <v>645</v>
      </c>
      <c r="AD20" s="43"/>
      <c r="AE20" s="3">
        <v>19963.400000000001</v>
      </c>
      <c r="AF20" s="2">
        <v>54.9</v>
      </c>
      <c r="AG20" s="2">
        <v>16462.900000000001</v>
      </c>
      <c r="AH20" s="7">
        <f t="shared" si="4"/>
        <v>49.833261454543241</v>
      </c>
      <c r="AI20" t="s">
        <v>25</v>
      </c>
      <c r="AL20" s="20">
        <v>650</v>
      </c>
      <c r="AM20" s="43"/>
      <c r="AN20" s="3">
        <v>21260.6</v>
      </c>
      <c r="AO20" s="2">
        <v>334.9</v>
      </c>
      <c r="AP20" s="2">
        <v>17136.400000000001</v>
      </c>
      <c r="AQ20" s="7">
        <f t="shared" ref="AQ20:AQ31" si="13">((AP20-AO20)/(2*AP20))*100</f>
        <v>49.022840269834965</v>
      </c>
      <c r="AR20" t="s">
        <v>11</v>
      </c>
      <c r="AU20" s="20">
        <v>663</v>
      </c>
      <c r="AV20" s="43"/>
      <c r="AW20" s="3">
        <v>19857.599999999999</v>
      </c>
      <c r="AX20" s="2">
        <v>830.2</v>
      </c>
      <c r="AY20" s="2">
        <v>15863.5</v>
      </c>
      <c r="AZ20" s="7">
        <f>((AY20-AX20)/(2*AY20))*100</f>
        <v>47.383301289122826</v>
      </c>
      <c r="BA20" t="s">
        <v>11</v>
      </c>
      <c r="BD20" s="20">
        <v>676</v>
      </c>
      <c r="BE20" s="43"/>
      <c r="BF20" s="3">
        <v>19835.5</v>
      </c>
      <c r="BG20" s="2">
        <v>2589.6</v>
      </c>
      <c r="BH20" s="2">
        <v>18118.900000000001</v>
      </c>
      <c r="BI20" s="12">
        <f t="shared" si="3"/>
        <v>42.853870819972514</v>
      </c>
      <c r="BJ20" t="s">
        <v>11</v>
      </c>
      <c r="BM20" s="20">
        <v>689</v>
      </c>
      <c r="BN20" s="43"/>
      <c r="BO20" s="3">
        <v>24097</v>
      </c>
      <c r="BP20" s="2">
        <v>209.5</v>
      </c>
      <c r="BQ20" s="2">
        <v>18970</v>
      </c>
      <c r="BR20" s="12">
        <f t="shared" si="7"/>
        <v>49.447812335266214</v>
      </c>
      <c r="BS20" t="s">
        <v>11</v>
      </c>
      <c r="BV20" s="20">
        <v>702</v>
      </c>
      <c r="BW20" s="43"/>
      <c r="BX20" s="3">
        <v>22482.5</v>
      </c>
      <c r="BY20" s="2">
        <v>3937</v>
      </c>
      <c r="BZ20" s="2">
        <v>23045.8</v>
      </c>
      <c r="CA20" s="12">
        <f t="shared" ref="CA20:CA31" si="14">((BZ20-BY20)/(2*BZ20))*100</f>
        <v>41.45831344540003</v>
      </c>
      <c r="CB20" t="s">
        <v>11</v>
      </c>
      <c r="CE20" s="20">
        <v>715</v>
      </c>
      <c r="CF20" s="43"/>
      <c r="CG20" s="3">
        <v>21236.5</v>
      </c>
      <c r="CH20" s="2">
        <v>335.9</v>
      </c>
      <c r="CI20" s="2">
        <v>16531.3</v>
      </c>
      <c r="CJ20" s="12">
        <f t="shared" ref="CJ20:CJ31" si="15">((CI20-CH20)/(2*CI20))*100</f>
        <v>48.984048441441388</v>
      </c>
      <c r="CK20" t="s">
        <v>11</v>
      </c>
      <c r="CN20" s="20">
        <v>728</v>
      </c>
      <c r="CO20" s="38"/>
      <c r="CP20" s="3">
        <v>20173.5</v>
      </c>
      <c r="CQ20" s="2">
        <v>125.4</v>
      </c>
      <c r="CR20" s="2">
        <v>17525.2</v>
      </c>
      <c r="CS20" s="7">
        <f t="shared" ref="CS20:CS32" si="16">((CR20-CQ20)/(2*CR20))*100</f>
        <v>49.642229475269893</v>
      </c>
      <c r="CT20" s="30" t="s">
        <v>11</v>
      </c>
      <c r="CW20" s="20">
        <v>742</v>
      </c>
      <c r="CX20" s="38"/>
      <c r="CY20" s="3">
        <v>17983.599999999999</v>
      </c>
      <c r="CZ20" s="2">
        <v>3690.1</v>
      </c>
      <c r="DA20" s="2">
        <v>17519.900000000001</v>
      </c>
      <c r="DB20" s="12">
        <f t="shared" ref="DB20:DB28" si="17">((DA20-CZ20)/(2*DA20))*100</f>
        <v>39.468832584660873</v>
      </c>
      <c r="DC20" s="30" t="s">
        <v>11</v>
      </c>
      <c r="DF20" s="20">
        <v>752</v>
      </c>
      <c r="DG20" s="38"/>
      <c r="DH20" s="13">
        <v>11698.5</v>
      </c>
      <c r="DI20" s="11">
        <v>3858.1</v>
      </c>
      <c r="DJ20" s="11">
        <v>12560.3</v>
      </c>
      <c r="DK20" s="12">
        <f t="shared" ref="DK20:DK28" si="18">((DJ20-DI20)/(2*DJ20))*100</f>
        <v>34.641688494701555</v>
      </c>
      <c r="DL20" s="30" t="s">
        <v>11</v>
      </c>
      <c r="DS20" s="50"/>
    </row>
    <row r="21" spans="2:123" x14ac:dyDescent="0.3">
      <c r="B21" s="17">
        <v>615</v>
      </c>
      <c r="C21" s="43"/>
      <c r="D21" s="3">
        <v>420</v>
      </c>
      <c r="E21" s="2">
        <v>0</v>
      </c>
      <c r="F21" s="2">
        <v>69</v>
      </c>
      <c r="G21" s="7">
        <f t="shared" si="0"/>
        <v>50</v>
      </c>
      <c r="H21" t="s">
        <v>16</v>
      </c>
      <c r="K21" s="17">
        <v>615</v>
      </c>
      <c r="L21" s="43"/>
      <c r="M21" s="3"/>
      <c r="N21" s="2"/>
      <c r="O21" s="2"/>
      <c r="P21" s="7" t="e">
        <f t="shared" si="1"/>
        <v>#DIV/0!</v>
      </c>
      <c r="Q21" t="s">
        <v>16</v>
      </c>
      <c r="T21" s="20">
        <v>646</v>
      </c>
      <c r="U21" s="43"/>
      <c r="V21" s="3">
        <v>10431.5</v>
      </c>
      <c r="W21" s="2">
        <v>9977.9</v>
      </c>
      <c r="X21" s="2">
        <v>17164.599999999999</v>
      </c>
      <c r="Y21" s="7">
        <f t="shared" si="2"/>
        <v>20.934656211038995</v>
      </c>
      <c r="Z21" t="s">
        <v>27</v>
      </c>
      <c r="AC21" s="20">
        <v>646</v>
      </c>
      <c r="AD21" s="43"/>
      <c r="AE21" s="3">
        <v>5398.7</v>
      </c>
      <c r="AF21" s="2">
        <v>12979.7</v>
      </c>
      <c r="AG21" s="2">
        <v>16688.900000000001</v>
      </c>
      <c r="AH21" s="7">
        <f t="shared" si="4"/>
        <v>11.112775557406421</v>
      </c>
      <c r="AI21" t="s">
        <v>27</v>
      </c>
      <c r="AL21" s="20">
        <v>651</v>
      </c>
      <c r="AM21" s="43"/>
      <c r="AN21" s="3">
        <v>16576</v>
      </c>
      <c r="AO21" s="2">
        <v>5980.8</v>
      </c>
      <c r="AP21" s="2">
        <v>17363.5</v>
      </c>
      <c r="AQ21" s="7">
        <f t="shared" si="13"/>
        <v>32.777665793186863</v>
      </c>
      <c r="AR21" t="s">
        <v>12</v>
      </c>
      <c r="AU21" s="19">
        <v>664</v>
      </c>
      <c r="AV21" s="43"/>
      <c r="AW21" s="3">
        <v>14756.5</v>
      </c>
      <c r="AX21" s="2">
        <v>5984.9</v>
      </c>
      <c r="AY21" s="2">
        <v>15878.7</v>
      </c>
      <c r="AZ21" s="7">
        <f t="shared" ref="AZ21:AZ31" si="19">((AY21-AX21)/(2*AY21))*100</f>
        <v>31.154313640285412</v>
      </c>
      <c r="BA21" t="s">
        <v>12</v>
      </c>
      <c r="BD21" s="19">
        <v>677</v>
      </c>
      <c r="BE21" s="43"/>
      <c r="BF21" s="3">
        <v>12523.9</v>
      </c>
      <c r="BG21" s="2">
        <v>10277.200000000001</v>
      </c>
      <c r="BH21" s="2">
        <v>19540.900000000001</v>
      </c>
      <c r="BI21" s="12">
        <f t="shared" si="3"/>
        <v>23.703360643573223</v>
      </c>
      <c r="BJ21" t="s">
        <v>12</v>
      </c>
      <c r="BM21" s="19">
        <v>690</v>
      </c>
      <c r="BN21" s="43"/>
      <c r="BO21" s="3">
        <v>18536</v>
      </c>
      <c r="BP21" s="2">
        <v>5246.8</v>
      </c>
      <c r="BQ21" s="2">
        <v>19174.400000000001</v>
      </c>
      <c r="BR21" s="12">
        <f t="shared" si="7"/>
        <v>36.318215954606146</v>
      </c>
      <c r="BS21" t="s">
        <v>12</v>
      </c>
      <c r="BV21" s="19">
        <v>703</v>
      </c>
      <c r="BW21" s="43"/>
      <c r="BX21" s="3">
        <v>18006.2</v>
      </c>
      <c r="BY21" s="2">
        <v>8893.6</v>
      </c>
      <c r="BZ21" s="2">
        <v>23099</v>
      </c>
      <c r="CA21" s="12">
        <f t="shared" si="14"/>
        <v>30.748950171003074</v>
      </c>
      <c r="CB21" t="s">
        <v>12</v>
      </c>
      <c r="CE21" s="19">
        <v>716</v>
      </c>
      <c r="CF21" s="43"/>
      <c r="CG21" s="3">
        <v>9649</v>
      </c>
      <c r="CH21" s="2">
        <v>3055.7</v>
      </c>
      <c r="CI21" s="2">
        <v>9295.5</v>
      </c>
      <c r="CJ21" s="12">
        <f t="shared" si="15"/>
        <v>33.563552256468185</v>
      </c>
      <c r="CK21" t="s">
        <v>12</v>
      </c>
      <c r="CN21" s="20">
        <v>729</v>
      </c>
      <c r="CO21" s="38"/>
      <c r="CP21" s="3">
        <v>16290</v>
      </c>
      <c r="CQ21" s="2">
        <v>5872.8</v>
      </c>
      <c r="CR21" s="2">
        <v>17868.5</v>
      </c>
      <c r="CS21" s="7">
        <f t="shared" si="16"/>
        <v>33.566611635000143</v>
      </c>
      <c r="CT21" s="30" t="s">
        <v>12</v>
      </c>
      <c r="CW21" s="19">
        <v>743</v>
      </c>
      <c r="CX21" s="38"/>
      <c r="CY21" s="3">
        <v>11217.2</v>
      </c>
      <c r="CZ21" s="2">
        <v>10187.5</v>
      </c>
      <c r="DA21" s="2">
        <v>17571.2</v>
      </c>
      <c r="DB21" s="12">
        <f t="shared" si="17"/>
        <v>21.010801766527045</v>
      </c>
      <c r="DC21" s="30" t="s">
        <v>12</v>
      </c>
      <c r="DF21" s="19">
        <v>753</v>
      </c>
      <c r="DG21" s="38"/>
      <c r="DH21" s="13">
        <v>7035.8</v>
      </c>
      <c r="DI21" s="11">
        <v>8040.9</v>
      </c>
      <c r="DJ21" s="11">
        <v>13670.8</v>
      </c>
      <c r="DK21" s="12">
        <f t="shared" si="18"/>
        <v>20.590967609796063</v>
      </c>
      <c r="DL21" s="30" t="s">
        <v>12</v>
      </c>
      <c r="DS21" s="50"/>
    </row>
    <row r="22" spans="2:123" x14ac:dyDescent="0.3">
      <c r="B22" s="17">
        <v>616</v>
      </c>
      <c r="C22" s="43"/>
      <c r="D22" s="3">
        <v>4915.7</v>
      </c>
      <c r="E22" s="2">
        <v>12801.9</v>
      </c>
      <c r="F22" s="2">
        <v>16031.5</v>
      </c>
      <c r="G22" s="7">
        <f t="shared" si="0"/>
        <v>10.072669432055642</v>
      </c>
      <c r="H22" t="s">
        <v>17</v>
      </c>
      <c r="K22" s="17">
        <v>616</v>
      </c>
      <c r="L22" s="43"/>
      <c r="M22" s="3"/>
      <c r="N22" s="2"/>
      <c r="O22" s="2"/>
      <c r="P22" s="7" t="e">
        <f t="shared" si="1"/>
        <v>#DIV/0!</v>
      </c>
      <c r="Q22" t="s">
        <v>17</v>
      </c>
      <c r="T22" s="20">
        <v>647</v>
      </c>
      <c r="U22" s="43"/>
      <c r="V22" s="3">
        <v>6970</v>
      </c>
      <c r="W22" s="2">
        <v>12684.3</v>
      </c>
      <c r="X22" s="2">
        <v>17297.2</v>
      </c>
      <c r="Y22" s="7">
        <f t="shared" si="2"/>
        <v>13.334239067594758</v>
      </c>
      <c r="Z22" t="s">
        <v>28</v>
      </c>
      <c r="AC22" s="20">
        <v>647</v>
      </c>
      <c r="AD22" s="43"/>
      <c r="AE22" s="3">
        <v>2664.7</v>
      </c>
      <c r="AF22" s="2">
        <v>15598.4</v>
      </c>
      <c r="AG22" s="2">
        <v>17116.900000000001</v>
      </c>
      <c r="AH22" s="7">
        <f t="shared" si="4"/>
        <v>4.4356746840841561</v>
      </c>
      <c r="AI22" t="s">
        <v>28</v>
      </c>
      <c r="AL22" s="20">
        <v>652</v>
      </c>
      <c r="AM22" s="43"/>
      <c r="AN22" s="3">
        <v>4720.2</v>
      </c>
      <c r="AO22" s="2">
        <v>14149.1</v>
      </c>
      <c r="AP22" s="2">
        <v>17109.5</v>
      </c>
      <c r="AQ22" s="7">
        <f t="shared" si="13"/>
        <v>8.651334054180424</v>
      </c>
      <c r="AR22" t="s">
        <v>13</v>
      </c>
      <c r="AU22" s="20">
        <v>665</v>
      </c>
      <c r="AV22" s="43"/>
      <c r="AW22" s="3">
        <v>190.1</v>
      </c>
      <c r="AX22" s="2">
        <v>17265.5</v>
      </c>
      <c r="AY22" s="2">
        <v>17499.099999999999</v>
      </c>
      <c r="AZ22" s="7">
        <f t="shared" si="19"/>
        <v>0.66746289809189774</v>
      </c>
      <c r="BA22" t="s">
        <v>13</v>
      </c>
      <c r="BD22" s="20">
        <v>678</v>
      </c>
      <c r="BE22" s="43"/>
      <c r="BF22" s="3">
        <v>4059.4</v>
      </c>
      <c r="BG22" s="2">
        <v>16154.6</v>
      </c>
      <c r="BH22" s="2">
        <v>18738.2</v>
      </c>
      <c r="BI22" s="12">
        <f t="shared" si="3"/>
        <v>6.8939385853497139</v>
      </c>
      <c r="BJ22" t="s">
        <v>13</v>
      </c>
      <c r="BM22" s="20">
        <v>691</v>
      </c>
      <c r="BN22" s="43"/>
      <c r="BO22" s="3">
        <v>5601.7</v>
      </c>
      <c r="BP22" s="2">
        <v>16065.4</v>
      </c>
      <c r="BQ22" s="2">
        <v>19672.7</v>
      </c>
      <c r="BR22" s="12">
        <f t="shared" si="7"/>
        <v>9.1682890503082977</v>
      </c>
      <c r="BS22" t="s">
        <v>13</v>
      </c>
      <c r="BV22" s="20">
        <v>704</v>
      </c>
      <c r="BW22" s="43"/>
      <c r="BX22" s="3">
        <v>5269.1</v>
      </c>
      <c r="BY22" s="2">
        <v>20769.900000000001</v>
      </c>
      <c r="BZ22" s="2">
        <v>24870.3</v>
      </c>
      <c r="CA22" s="12">
        <f t="shared" si="14"/>
        <v>8.2435676288585142</v>
      </c>
      <c r="CB22" t="s">
        <v>13</v>
      </c>
      <c r="CE22" s="20">
        <v>717</v>
      </c>
      <c r="CF22" s="43"/>
      <c r="CG22" s="3">
        <v>4642.7</v>
      </c>
      <c r="CH22" s="2">
        <v>14959.1</v>
      </c>
      <c r="CI22" s="2">
        <v>17861.8</v>
      </c>
      <c r="CJ22" s="12">
        <f t="shared" si="15"/>
        <v>8.1254408850171842</v>
      </c>
      <c r="CK22" t="s">
        <v>13</v>
      </c>
      <c r="CN22" s="20">
        <v>730</v>
      </c>
      <c r="CO22" s="38"/>
      <c r="CP22" s="3">
        <v>4532.7</v>
      </c>
      <c r="CQ22" s="2">
        <v>14230.7</v>
      </c>
      <c r="CR22" s="2">
        <v>17065.3</v>
      </c>
      <c r="CS22" s="7">
        <f t="shared" si="16"/>
        <v>8.3051572489203203</v>
      </c>
      <c r="CT22" s="30" t="s">
        <v>13</v>
      </c>
      <c r="CW22" s="20">
        <v>744</v>
      </c>
      <c r="CX22" s="38"/>
      <c r="CY22" s="3">
        <v>3609.8</v>
      </c>
      <c r="CZ22" s="2">
        <v>14541.7</v>
      </c>
      <c r="DA22" s="2">
        <v>16771.900000000001</v>
      </c>
      <c r="DB22" s="12">
        <f t="shared" si="17"/>
        <v>6.6486206094717959</v>
      </c>
      <c r="DC22" s="30" t="s">
        <v>13</v>
      </c>
      <c r="DF22" s="20">
        <v>754</v>
      </c>
      <c r="DG22" s="38"/>
      <c r="DH22" s="13">
        <v>2025.4</v>
      </c>
      <c r="DI22" s="11">
        <v>14785.6</v>
      </c>
      <c r="DJ22" s="11">
        <v>16656.2</v>
      </c>
      <c r="DK22" s="12">
        <f t="shared" si="18"/>
        <v>5.6153264249948975</v>
      </c>
      <c r="DL22" s="30" t="s">
        <v>13</v>
      </c>
      <c r="DS22" s="50"/>
    </row>
    <row r="23" spans="2:123" ht="15" thickBot="1" x14ac:dyDescent="0.35">
      <c r="B23" s="17">
        <v>617</v>
      </c>
      <c r="C23" s="43"/>
      <c r="D23" s="3">
        <v>492.4</v>
      </c>
      <c r="E23" s="2">
        <v>16516.599999999999</v>
      </c>
      <c r="F23" s="2">
        <v>16983.400000000001</v>
      </c>
      <c r="G23" s="7">
        <f t="shared" si="0"/>
        <v>1.3742831235206228</v>
      </c>
      <c r="H23" t="s">
        <v>18</v>
      </c>
      <c r="K23" s="17">
        <v>617</v>
      </c>
      <c r="L23" s="43"/>
      <c r="M23" s="3"/>
      <c r="N23" s="2"/>
      <c r="O23" s="2"/>
      <c r="P23" s="7" t="e">
        <f t="shared" si="1"/>
        <v>#DIV/0!</v>
      </c>
      <c r="Q23" t="s">
        <v>18</v>
      </c>
      <c r="T23" s="21">
        <v>648</v>
      </c>
      <c r="U23" s="44"/>
      <c r="V23" s="8">
        <v>12725.1</v>
      </c>
      <c r="W23" s="9">
        <v>8277.4</v>
      </c>
      <c r="X23" s="9">
        <v>17237.7</v>
      </c>
      <c r="Y23" s="10">
        <f t="shared" si="2"/>
        <v>25.990416354850126</v>
      </c>
      <c r="Z23" t="s">
        <v>29</v>
      </c>
      <c r="AC23" s="21">
        <v>648</v>
      </c>
      <c r="AD23" s="44"/>
      <c r="AE23" s="8">
        <v>12312.4</v>
      </c>
      <c r="AF23" s="9">
        <v>8232.5</v>
      </c>
      <c r="AG23" s="9">
        <v>16851.599999999999</v>
      </c>
      <c r="AH23" s="10">
        <f t="shared" si="4"/>
        <v>25.57353604405516</v>
      </c>
      <c r="AI23" t="s">
        <v>29</v>
      </c>
      <c r="AL23" s="20">
        <v>653</v>
      </c>
      <c r="AM23" s="43"/>
      <c r="AN23" s="3">
        <v>114.5</v>
      </c>
      <c r="AO23" s="2">
        <v>16158.7</v>
      </c>
      <c r="AP23" s="2">
        <v>16374.5</v>
      </c>
      <c r="AQ23" s="7">
        <f t="shared" si="13"/>
        <v>0.65895141836391724</v>
      </c>
      <c r="AR23" t="s">
        <v>35</v>
      </c>
      <c r="AU23" s="19">
        <v>666</v>
      </c>
      <c r="AV23" s="43"/>
      <c r="AW23" s="3">
        <v>20913.7</v>
      </c>
      <c r="AX23" s="2">
        <v>88.1</v>
      </c>
      <c r="AY23" s="2">
        <v>15936.2</v>
      </c>
      <c r="AZ23" s="7">
        <f t="shared" si="19"/>
        <v>49.723585296369272</v>
      </c>
      <c r="BA23" t="s">
        <v>44</v>
      </c>
      <c r="BD23" s="19">
        <v>679</v>
      </c>
      <c r="BE23" s="43"/>
      <c r="BF23" s="3">
        <v>20324</v>
      </c>
      <c r="BG23" s="2">
        <v>1245.4000000000001</v>
      </c>
      <c r="BH23" s="2">
        <v>17989.2</v>
      </c>
      <c r="BI23" s="12">
        <f t="shared" si="3"/>
        <v>46.538478642741197</v>
      </c>
      <c r="BJ23" s="25" t="s">
        <v>56</v>
      </c>
      <c r="BM23" s="19">
        <v>692</v>
      </c>
      <c r="BN23" s="43"/>
      <c r="BO23" s="3">
        <v>10315.1</v>
      </c>
      <c r="BP23" s="2">
        <v>10479.299999999999</v>
      </c>
      <c r="BQ23" s="2">
        <v>17621.599999999999</v>
      </c>
      <c r="BR23" s="12">
        <f t="shared" si="7"/>
        <v>20.265753393562449</v>
      </c>
      <c r="BS23" s="25" t="s">
        <v>62</v>
      </c>
      <c r="BV23" s="19">
        <v>705</v>
      </c>
      <c r="BW23" s="43"/>
      <c r="BX23" s="3">
        <v>23962.6</v>
      </c>
      <c r="BY23" s="2">
        <v>43.9</v>
      </c>
      <c r="BZ23" s="2">
        <v>22346.1</v>
      </c>
      <c r="CA23" s="12">
        <f t="shared" si="14"/>
        <v>49.90177256881514</v>
      </c>
      <c r="CB23" s="25" t="s">
        <v>71</v>
      </c>
      <c r="CE23" s="19">
        <v>718</v>
      </c>
      <c r="CF23" s="43"/>
      <c r="CG23" s="3">
        <v>21790</v>
      </c>
      <c r="CH23" s="2">
        <v>103.6</v>
      </c>
      <c r="CI23" s="2">
        <v>18143.5</v>
      </c>
      <c r="CJ23" s="12">
        <f t="shared" si="15"/>
        <v>49.714498305178168</v>
      </c>
      <c r="CK23" s="25" t="s">
        <v>80</v>
      </c>
      <c r="CN23" s="20">
        <v>731</v>
      </c>
      <c r="CO23" s="38"/>
      <c r="CP23" s="3">
        <v>12664.3</v>
      </c>
      <c r="CQ23" s="2">
        <v>0</v>
      </c>
      <c r="CR23" s="2">
        <v>16475.7</v>
      </c>
      <c r="CS23" s="7">
        <f t="shared" si="16"/>
        <v>50</v>
      </c>
      <c r="CT23" s="31" t="s">
        <v>90</v>
      </c>
      <c r="CW23" s="19">
        <v>745</v>
      </c>
      <c r="CX23" s="38"/>
      <c r="CY23" s="3">
        <v>21285</v>
      </c>
      <c r="CZ23" s="2">
        <v>1375.9</v>
      </c>
      <c r="DA23" s="2">
        <v>18636.400000000001</v>
      </c>
      <c r="DB23" s="12">
        <f t="shared" si="17"/>
        <v>46.308568178403554</v>
      </c>
      <c r="DC23" s="30" t="s">
        <v>14</v>
      </c>
      <c r="DF23" s="19">
        <v>755</v>
      </c>
      <c r="DG23" s="38"/>
      <c r="DH23" s="13">
        <v>13014.1</v>
      </c>
      <c r="DI23" s="11">
        <v>1738.5</v>
      </c>
      <c r="DJ23" s="11">
        <v>14964.3</v>
      </c>
      <c r="DK23" s="12">
        <f t="shared" si="18"/>
        <v>44.191174996491647</v>
      </c>
      <c r="DL23" s="30" t="s">
        <v>80</v>
      </c>
      <c r="DS23" s="50"/>
    </row>
    <row r="24" spans="2:123" ht="15" thickBot="1" x14ac:dyDescent="0.35">
      <c r="B24" s="18">
        <v>618</v>
      </c>
      <c r="C24" s="44"/>
      <c r="D24" s="8">
        <v>167.8</v>
      </c>
      <c r="E24" s="9">
        <v>17539.400000000001</v>
      </c>
      <c r="F24" s="9">
        <v>17863.900000000001</v>
      </c>
      <c r="G24" s="10">
        <f t="shared" si="0"/>
        <v>0.90825631581009736</v>
      </c>
      <c r="H24" t="s">
        <v>19</v>
      </c>
      <c r="K24" s="18">
        <v>618</v>
      </c>
      <c r="L24" s="44"/>
      <c r="M24" s="8"/>
      <c r="N24" s="9"/>
      <c r="O24" s="9"/>
      <c r="P24" s="10" t="e">
        <f t="shared" si="1"/>
        <v>#DIV/0!</v>
      </c>
      <c r="Q24" t="s">
        <v>19</v>
      </c>
      <c r="AL24" s="20">
        <v>654</v>
      </c>
      <c r="AM24" s="43"/>
      <c r="AN24" s="3">
        <v>128.69999999999999</v>
      </c>
      <c r="AO24" s="2">
        <v>16421.900000000001</v>
      </c>
      <c r="AP24" s="2">
        <v>16633.3</v>
      </c>
      <c r="AQ24" s="7">
        <f t="shared" si="13"/>
        <v>0.63547221537517462</v>
      </c>
      <c r="AR24" t="s">
        <v>36</v>
      </c>
      <c r="AU24" s="20">
        <v>667</v>
      </c>
      <c r="AV24" s="43"/>
      <c r="AW24" s="3">
        <v>21124.799999999999</v>
      </c>
      <c r="AX24" s="2">
        <v>295.10000000000002</v>
      </c>
      <c r="AY24" s="2">
        <v>15870.8</v>
      </c>
      <c r="AZ24" s="7">
        <f t="shared" si="19"/>
        <v>49.070305214607956</v>
      </c>
      <c r="BA24" t="s">
        <v>46</v>
      </c>
      <c r="BD24" s="20">
        <v>680</v>
      </c>
      <c r="BE24" s="43"/>
      <c r="BF24" s="3">
        <v>20320.400000000001</v>
      </c>
      <c r="BG24" s="2">
        <v>158.1</v>
      </c>
      <c r="BH24" s="2">
        <v>17849</v>
      </c>
      <c r="BI24" s="12">
        <f t="shared" si="3"/>
        <v>49.557118045828901</v>
      </c>
      <c r="BJ24" t="s">
        <v>57</v>
      </c>
      <c r="BM24" s="20">
        <v>693</v>
      </c>
      <c r="BN24" s="43"/>
      <c r="BO24" s="3">
        <v>3329.5</v>
      </c>
      <c r="BP24" s="2">
        <v>15734.7</v>
      </c>
      <c r="BQ24" s="2">
        <v>17809.3</v>
      </c>
      <c r="BR24" s="12">
        <f t="shared" si="7"/>
        <v>5.8244849601051101</v>
      </c>
      <c r="BS24" t="s">
        <v>63</v>
      </c>
      <c r="BV24" s="20">
        <v>706</v>
      </c>
      <c r="BW24" s="43"/>
      <c r="BX24" s="3">
        <v>24927.8</v>
      </c>
      <c r="BY24" s="2">
        <v>24.7</v>
      </c>
      <c r="BZ24" s="2">
        <v>23810.7</v>
      </c>
      <c r="CA24" s="12">
        <f t="shared" si="14"/>
        <v>49.948132562251423</v>
      </c>
      <c r="CB24" t="s">
        <v>72</v>
      </c>
      <c r="CE24" s="20">
        <v>719</v>
      </c>
      <c r="CF24" s="43"/>
      <c r="CG24" s="3">
        <v>20022.5</v>
      </c>
      <c r="CH24" s="2">
        <v>1101.3</v>
      </c>
      <c r="CI24" s="2">
        <v>16527.5</v>
      </c>
      <c r="CJ24" s="12">
        <f t="shared" si="15"/>
        <v>46.668280139162007</v>
      </c>
      <c r="CK24" t="s">
        <v>81</v>
      </c>
      <c r="CN24" s="20">
        <v>732</v>
      </c>
      <c r="CO24" s="38"/>
      <c r="CP24" s="3">
        <v>10534.3</v>
      </c>
      <c r="CQ24" s="2">
        <v>0</v>
      </c>
      <c r="CR24" s="2">
        <v>15046</v>
      </c>
      <c r="CS24" s="7">
        <f t="shared" si="16"/>
        <v>50</v>
      </c>
      <c r="CT24" s="30" t="s">
        <v>91</v>
      </c>
      <c r="CW24" s="20">
        <v>746</v>
      </c>
      <c r="CX24" s="38"/>
      <c r="CY24" s="3">
        <v>23454.5</v>
      </c>
      <c r="CZ24" s="2">
        <v>1722.1</v>
      </c>
      <c r="DA24" s="2">
        <v>21065.7</v>
      </c>
      <c r="DB24" s="12">
        <f t="shared" si="17"/>
        <v>45.912549784721143</v>
      </c>
      <c r="DC24" s="30" t="s">
        <v>15</v>
      </c>
      <c r="DF24" s="20">
        <v>756</v>
      </c>
      <c r="DG24" s="38"/>
      <c r="DH24" s="13">
        <v>11974.2</v>
      </c>
      <c r="DI24" s="11">
        <v>3290.4</v>
      </c>
      <c r="DJ24" s="11">
        <v>19078.3</v>
      </c>
      <c r="DK24" s="12">
        <f t="shared" si="18"/>
        <v>41.376590157403967</v>
      </c>
      <c r="DL24" s="30" t="s">
        <v>81</v>
      </c>
      <c r="DS24" s="50"/>
    </row>
    <row r="25" spans="2:123" x14ac:dyDescent="0.3">
      <c r="K25" s="1"/>
      <c r="L25" s="1"/>
      <c r="M25" s="1"/>
      <c r="AL25" s="20">
        <v>655</v>
      </c>
      <c r="AM25" s="43"/>
      <c r="AN25" s="3">
        <v>145.30000000000001</v>
      </c>
      <c r="AO25" s="2">
        <v>16498.8</v>
      </c>
      <c r="AP25" s="2">
        <v>16731.2</v>
      </c>
      <c r="AQ25" s="7">
        <f t="shared" si="13"/>
        <v>0.69451085397341927</v>
      </c>
      <c r="AR25" t="s">
        <v>37</v>
      </c>
      <c r="AU25" s="19">
        <v>668</v>
      </c>
      <c r="AV25" s="43"/>
      <c r="AW25" s="3">
        <v>20719.900000000001</v>
      </c>
      <c r="AX25" s="2">
        <v>1120.2</v>
      </c>
      <c r="AY25" s="2">
        <v>15983.6</v>
      </c>
      <c r="AZ25" s="7">
        <f t="shared" si="19"/>
        <v>46.495783177757197</v>
      </c>
      <c r="BA25" t="s">
        <v>45</v>
      </c>
      <c r="BD25" s="19">
        <v>681</v>
      </c>
      <c r="BE25" s="43"/>
      <c r="BF25" s="3">
        <v>20665.2</v>
      </c>
      <c r="BG25" s="2">
        <v>1183.3</v>
      </c>
      <c r="BH25" s="2">
        <v>16864.2</v>
      </c>
      <c r="BI25" s="12">
        <f t="shared" si="3"/>
        <v>46.491680601510893</v>
      </c>
      <c r="BJ25" t="s">
        <v>58</v>
      </c>
      <c r="BM25" s="19">
        <v>694</v>
      </c>
      <c r="BN25" s="43"/>
      <c r="BO25" s="3">
        <v>1246.5999999999999</v>
      </c>
      <c r="BP25" s="2">
        <v>17323.3</v>
      </c>
      <c r="BQ25" s="2">
        <v>18261.5</v>
      </c>
      <c r="BR25" s="12">
        <f t="shared" si="7"/>
        <v>2.5687922678859918</v>
      </c>
      <c r="BS25" t="s">
        <v>64</v>
      </c>
      <c r="BV25" s="19">
        <v>707</v>
      </c>
      <c r="BW25" s="43"/>
      <c r="BX25" s="3">
        <v>24339.1</v>
      </c>
      <c r="BY25" s="2">
        <v>57.4</v>
      </c>
      <c r="BZ25" s="2">
        <v>23236.3</v>
      </c>
      <c r="CA25" s="12">
        <f t="shared" si="14"/>
        <v>49.876486359704423</v>
      </c>
      <c r="CB25" t="s">
        <v>73</v>
      </c>
      <c r="CE25" s="19">
        <v>720</v>
      </c>
      <c r="CF25" s="43"/>
      <c r="CG25" s="3">
        <v>17213.099999999999</v>
      </c>
      <c r="CH25" s="2">
        <v>6328.4</v>
      </c>
      <c r="CI25" s="2">
        <v>18905.5</v>
      </c>
      <c r="CJ25" s="12">
        <f t="shared" si="15"/>
        <v>33.263071592922692</v>
      </c>
      <c r="CK25" t="s">
        <v>82</v>
      </c>
      <c r="CN25" s="20">
        <v>733</v>
      </c>
      <c r="CO25" s="38"/>
      <c r="CP25" s="3">
        <v>16396.2</v>
      </c>
      <c r="CQ25" s="2">
        <v>0</v>
      </c>
      <c r="CR25" s="2">
        <v>16831.900000000001</v>
      </c>
      <c r="CS25" s="7">
        <f t="shared" si="16"/>
        <v>50</v>
      </c>
      <c r="CT25" s="30" t="s">
        <v>92</v>
      </c>
      <c r="CW25" s="19">
        <v>747</v>
      </c>
      <c r="CX25" s="38"/>
      <c r="CY25" s="3">
        <v>24933.200000000001</v>
      </c>
      <c r="CZ25" s="2">
        <v>3024.3</v>
      </c>
      <c r="DA25" s="2">
        <v>24182.1</v>
      </c>
      <c r="DB25" s="12">
        <f t="shared" si="17"/>
        <v>43.74682099569516</v>
      </c>
      <c r="DC25" s="30" t="s">
        <v>16</v>
      </c>
      <c r="DF25" s="19">
        <v>757</v>
      </c>
      <c r="DG25" s="38"/>
      <c r="DH25" s="13">
        <v>10835.6</v>
      </c>
      <c r="DI25" s="11">
        <v>7398.3</v>
      </c>
      <c r="DJ25" s="11">
        <v>22563.599999999999</v>
      </c>
      <c r="DK25" s="12">
        <f t="shared" si="18"/>
        <v>33.605674626389408</v>
      </c>
      <c r="DL25" s="30" t="s">
        <v>82</v>
      </c>
      <c r="DS25" s="50"/>
    </row>
    <row r="26" spans="2:123" ht="15" thickBot="1" x14ac:dyDescent="0.35">
      <c r="K26" s="1"/>
      <c r="L26" s="1"/>
      <c r="M26" s="1"/>
      <c r="AL26" s="20">
        <v>656</v>
      </c>
      <c r="AM26" s="43"/>
      <c r="AN26" s="3">
        <v>110.3</v>
      </c>
      <c r="AO26" s="2">
        <v>16420.599999999999</v>
      </c>
      <c r="AP26" s="2">
        <v>16666.3</v>
      </c>
      <c r="AQ26" s="7">
        <f t="shared" si="13"/>
        <v>0.7371162165567664</v>
      </c>
      <c r="AR26" t="s">
        <v>38</v>
      </c>
      <c r="AU26" s="20">
        <v>669</v>
      </c>
      <c r="AV26" s="43"/>
      <c r="AW26" s="3">
        <v>112.5</v>
      </c>
      <c r="AX26" s="2">
        <v>16486.7</v>
      </c>
      <c r="AY26" s="2">
        <v>16701.400000000001</v>
      </c>
      <c r="AZ26" s="7">
        <f t="shared" si="19"/>
        <v>0.64276048714479239</v>
      </c>
      <c r="BA26" t="s">
        <v>47</v>
      </c>
      <c r="BD26" s="20">
        <v>682</v>
      </c>
      <c r="BE26" s="43"/>
      <c r="BF26" s="3">
        <v>20610.8</v>
      </c>
      <c r="BG26" s="2">
        <v>164</v>
      </c>
      <c r="BH26" s="2">
        <v>17624.900000000001</v>
      </c>
      <c r="BI26" s="12">
        <f t="shared" si="3"/>
        <v>49.534749133328418</v>
      </c>
      <c r="BJ26" t="s">
        <v>59</v>
      </c>
      <c r="BM26" s="20">
        <v>695</v>
      </c>
      <c r="BN26" s="43"/>
      <c r="BO26" s="3">
        <v>10429.4</v>
      </c>
      <c r="BP26" s="2">
        <v>10196.6</v>
      </c>
      <c r="BQ26" s="2">
        <v>17602.599999999999</v>
      </c>
      <c r="BR26" s="12">
        <f t="shared" si="7"/>
        <v>21.036665038119366</v>
      </c>
      <c r="BS26" s="25" t="s">
        <v>65</v>
      </c>
      <c r="BV26" s="20">
        <v>708</v>
      </c>
      <c r="BW26" s="43"/>
      <c r="BX26" s="3">
        <v>22056.3</v>
      </c>
      <c r="BY26" s="2">
        <v>34.299999999999997</v>
      </c>
      <c r="BZ26" s="2">
        <v>18022.099999999999</v>
      </c>
      <c r="CA26" s="12">
        <f t="shared" si="14"/>
        <v>49.904839058711254</v>
      </c>
      <c r="CB26" s="25" t="s">
        <v>74</v>
      </c>
      <c r="CE26" s="20">
        <v>721</v>
      </c>
      <c r="CF26" s="43"/>
      <c r="CG26" s="3">
        <v>4526.7</v>
      </c>
      <c r="CH26" s="2">
        <v>16311.4</v>
      </c>
      <c r="CI26" s="2">
        <v>19270.3</v>
      </c>
      <c r="CJ26" s="12">
        <f t="shared" si="15"/>
        <v>7.6773584220276785</v>
      </c>
      <c r="CK26" s="25" t="s">
        <v>83</v>
      </c>
      <c r="CN26" s="20">
        <v>734</v>
      </c>
      <c r="CO26" s="38"/>
      <c r="CP26" s="3">
        <v>12360.9</v>
      </c>
      <c r="CQ26" s="2">
        <v>0</v>
      </c>
      <c r="CR26" s="2">
        <v>16473.2</v>
      </c>
      <c r="CS26" s="7">
        <f t="shared" si="16"/>
        <v>50</v>
      </c>
      <c r="CT26" s="31" t="s">
        <v>93</v>
      </c>
      <c r="CW26" s="20">
        <v>748</v>
      </c>
      <c r="CX26" s="38"/>
      <c r="CY26" s="3">
        <v>20818.3</v>
      </c>
      <c r="CZ26" s="2">
        <v>1192</v>
      </c>
      <c r="DA26" s="2">
        <v>17036.8</v>
      </c>
      <c r="DB26" s="12">
        <f t="shared" si="17"/>
        <v>46.501690458302029</v>
      </c>
      <c r="DC26" s="30" t="s">
        <v>23</v>
      </c>
      <c r="DF26" s="20">
        <v>758</v>
      </c>
      <c r="DG26" s="38"/>
      <c r="DH26" s="13">
        <v>14002.1</v>
      </c>
      <c r="DI26" s="11">
        <v>1664.9</v>
      </c>
      <c r="DJ26" s="11">
        <v>12030</v>
      </c>
      <c r="DK26" s="12">
        <f t="shared" si="18"/>
        <v>43.080216126350791</v>
      </c>
      <c r="DL26" s="30" t="s">
        <v>44</v>
      </c>
      <c r="DS26" s="50"/>
    </row>
    <row r="27" spans="2:123" x14ac:dyDescent="0.3">
      <c r="B27" s="16">
        <v>609</v>
      </c>
      <c r="C27" s="42" t="s">
        <v>2</v>
      </c>
      <c r="D27" s="4">
        <v>20037</v>
      </c>
      <c r="E27" s="5">
        <v>350.2</v>
      </c>
      <c r="F27" s="5">
        <v>17135.099999999999</v>
      </c>
      <c r="G27" s="6">
        <f t="shared" si="0"/>
        <v>48.978120933055543</v>
      </c>
      <c r="H27" t="s">
        <v>10</v>
      </c>
      <c r="K27" s="16">
        <v>609</v>
      </c>
      <c r="L27" s="42" t="s">
        <v>2</v>
      </c>
      <c r="M27" s="4"/>
      <c r="N27" s="5"/>
      <c r="O27" s="5"/>
      <c r="P27" s="6" t="e">
        <f t="shared" si="1"/>
        <v>#DIV/0!</v>
      </c>
      <c r="Q27" t="s">
        <v>10</v>
      </c>
      <c r="T27" s="22">
        <v>640</v>
      </c>
      <c r="U27" s="42" t="s">
        <v>2</v>
      </c>
      <c r="V27" s="4">
        <v>22049.8</v>
      </c>
      <c r="W27" s="5">
        <v>63.8</v>
      </c>
      <c r="X27" s="5">
        <v>16921.5</v>
      </c>
      <c r="Y27" s="6">
        <f t="shared" si="2"/>
        <v>49.811482433590406</v>
      </c>
      <c r="Z27" t="s">
        <v>21</v>
      </c>
      <c r="AC27" s="22">
        <v>640</v>
      </c>
      <c r="AD27" s="42" t="s">
        <v>2</v>
      </c>
      <c r="AE27" s="4">
        <v>20945.400000000001</v>
      </c>
      <c r="AF27" s="5">
        <v>30.4</v>
      </c>
      <c r="AG27" s="5">
        <v>15470.2</v>
      </c>
      <c r="AH27" s="6">
        <f t="shared" si="4"/>
        <v>49.901746583754573</v>
      </c>
      <c r="AI27" t="s">
        <v>21</v>
      </c>
      <c r="AL27" s="20">
        <v>657</v>
      </c>
      <c r="AM27" s="43"/>
      <c r="AN27" s="3">
        <v>126.4</v>
      </c>
      <c r="AO27" s="2">
        <v>16464.8</v>
      </c>
      <c r="AP27" s="2">
        <v>16687.8</v>
      </c>
      <c r="AQ27" s="7">
        <f t="shared" si="13"/>
        <v>0.66815278227207908</v>
      </c>
      <c r="AR27" t="s">
        <v>39</v>
      </c>
      <c r="AU27" s="19">
        <v>670</v>
      </c>
      <c r="AV27" s="43"/>
      <c r="AW27" s="3">
        <v>119.4</v>
      </c>
      <c r="AX27" s="2">
        <v>16553.7</v>
      </c>
      <c r="AY27" s="2">
        <v>16743.2</v>
      </c>
      <c r="AZ27" s="7">
        <f t="shared" si="19"/>
        <v>0.56590138085909503</v>
      </c>
      <c r="BA27" t="s">
        <v>48</v>
      </c>
      <c r="BD27" s="19">
        <v>683</v>
      </c>
      <c r="BE27" s="43"/>
      <c r="BF27" s="3">
        <v>20438.8</v>
      </c>
      <c r="BG27" s="2">
        <v>107.5</v>
      </c>
      <c r="BH27" s="2">
        <v>17949.7</v>
      </c>
      <c r="BI27" s="12">
        <f t="shared" si="3"/>
        <v>49.700552098363758</v>
      </c>
      <c r="BJ27" t="s">
        <v>60</v>
      </c>
      <c r="BM27" s="19">
        <v>696</v>
      </c>
      <c r="BN27" s="43"/>
      <c r="BO27" s="3">
        <v>1747.1</v>
      </c>
      <c r="BP27" s="2">
        <v>15381.9</v>
      </c>
      <c r="BQ27" s="2">
        <v>16536.2</v>
      </c>
      <c r="BR27" s="12">
        <f t="shared" si="7"/>
        <v>3.4902214535383012</v>
      </c>
      <c r="BS27" t="s">
        <v>66</v>
      </c>
      <c r="BV27" s="19">
        <v>709</v>
      </c>
      <c r="BW27" s="43"/>
      <c r="BX27" s="3">
        <v>24619.1</v>
      </c>
      <c r="BY27" s="2">
        <v>33.700000000000003</v>
      </c>
      <c r="BZ27" s="2">
        <v>21429.200000000001</v>
      </c>
      <c r="CA27" s="12">
        <f t="shared" si="14"/>
        <v>49.921368973176783</v>
      </c>
      <c r="CB27" s="25" t="s">
        <v>75</v>
      </c>
      <c r="CE27" s="19">
        <v>722</v>
      </c>
      <c r="CF27" s="43"/>
      <c r="CG27" s="3">
        <v>648.5</v>
      </c>
      <c r="CH27" s="2">
        <v>17602.599999999999</v>
      </c>
      <c r="CI27" s="2">
        <v>18325.5</v>
      </c>
      <c r="CJ27" s="12">
        <f t="shared" si="15"/>
        <v>1.9723882022318666</v>
      </c>
      <c r="CK27" t="s">
        <v>84</v>
      </c>
      <c r="CN27" s="20">
        <v>735</v>
      </c>
      <c r="CO27" s="38"/>
      <c r="CP27" s="3">
        <v>20422.7</v>
      </c>
      <c r="CQ27" s="2">
        <v>0</v>
      </c>
      <c r="CR27" s="2">
        <v>16546.7</v>
      </c>
      <c r="CS27" s="7">
        <f t="shared" si="16"/>
        <v>50</v>
      </c>
      <c r="CT27" s="30" t="s">
        <v>94</v>
      </c>
      <c r="CW27" s="19">
        <v>749</v>
      </c>
      <c r="CX27" s="38"/>
      <c r="CY27" s="3">
        <v>21903.8</v>
      </c>
      <c r="CZ27" s="2">
        <v>892.7</v>
      </c>
      <c r="DA27" s="2">
        <v>17608.400000000001</v>
      </c>
      <c r="DB27" s="12">
        <f t="shared" si="17"/>
        <v>47.465130278730605</v>
      </c>
      <c r="DC27" s="30" t="s">
        <v>21</v>
      </c>
      <c r="DF27" s="19">
        <v>759</v>
      </c>
      <c r="DG27" s="38"/>
      <c r="DH27" s="13">
        <v>13166.1</v>
      </c>
      <c r="DI27" s="11">
        <v>2970.4</v>
      </c>
      <c r="DJ27" s="11">
        <v>13155.2</v>
      </c>
      <c r="DK27" s="12">
        <f t="shared" si="18"/>
        <v>38.710167842374119</v>
      </c>
      <c r="DL27" s="30" t="s">
        <v>46</v>
      </c>
      <c r="DS27" s="50"/>
    </row>
    <row r="28" spans="2:123" ht="15" thickBot="1" x14ac:dyDescent="0.35">
      <c r="B28" s="17">
        <v>610</v>
      </c>
      <c r="C28" s="43"/>
      <c r="D28" s="3">
        <v>17900.2</v>
      </c>
      <c r="E28" s="2">
        <v>3749</v>
      </c>
      <c r="F28" s="2">
        <v>17101</v>
      </c>
      <c r="G28" s="7">
        <f t="shared" si="0"/>
        <v>39.038652710367813</v>
      </c>
      <c r="H28" t="s">
        <v>11</v>
      </c>
      <c r="K28" s="17">
        <v>610</v>
      </c>
      <c r="L28" s="43"/>
      <c r="M28" s="3"/>
      <c r="N28" s="2"/>
      <c r="O28" s="2"/>
      <c r="P28" s="7" t="e">
        <f t="shared" si="1"/>
        <v>#DIV/0!</v>
      </c>
      <c r="Q28" t="s">
        <v>11</v>
      </c>
      <c r="T28" s="20">
        <v>641</v>
      </c>
      <c r="U28" s="43"/>
      <c r="V28" s="3">
        <v>22134.5</v>
      </c>
      <c r="W28" s="2">
        <v>33.9</v>
      </c>
      <c r="X28" s="2">
        <v>16239.6</v>
      </c>
      <c r="Y28" s="7">
        <f t="shared" si="2"/>
        <v>49.895625508017439</v>
      </c>
      <c r="Z28" t="s">
        <v>22</v>
      </c>
      <c r="AC28" s="20">
        <v>641</v>
      </c>
      <c r="AD28" s="43"/>
      <c r="AE28" s="3">
        <v>22188.2</v>
      </c>
      <c r="AF28" s="2">
        <v>12.7</v>
      </c>
      <c r="AG28" s="2">
        <v>16005.9</v>
      </c>
      <c r="AH28" s="7">
        <f t="shared" si="4"/>
        <v>49.960327129371038</v>
      </c>
      <c r="AI28" t="s">
        <v>22</v>
      </c>
      <c r="AL28" s="20">
        <v>658</v>
      </c>
      <c r="AM28" s="43"/>
      <c r="AN28" s="2">
        <v>136.9</v>
      </c>
      <c r="AO28" s="2">
        <v>15792.8</v>
      </c>
      <c r="AP28" s="2">
        <v>15999.6</v>
      </c>
      <c r="AQ28" s="7">
        <f t="shared" si="13"/>
        <v>0.64626615665391973</v>
      </c>
      <c r="AR28" t="s">
        <v>40</v>
      </c>
      <c r="AU28" s="20">
        <v>671</v>
      </c>
      <c r="AV28" s="43"/>
      <c r="AW28" s="2">
        <v>124.7</v>
      </c>
      <c r="AX28" s="2">
        <v>16201.3</v>
      </c>
      <c r="AY28" s="2">
        <v>16425.900000000001</v>
      </c>
      <c r="AZ28" s="7">
        <f t="shared" si="19"/>
        <v>0.68367638911719353</v>
      </c>
      <c r="BA28" t="s">
        <v>49</v>
      </c>
      <c r="BD28" s="20">
        <v>684</v>
      </c>
      <c r="BE28" s="43"/>
      <c r="BF28" s="2">
        <v>21429.8</v>
      </c>
      <c r="BG28" s="2">
        <v>88.1</v>
      </c>
      <c r="BH28" s="2">
        <v>17666.900000000001</v>
      </c>
      <c r="BI28" s="12">
        <f t="shared" si="3"/>
        <v>49.750663670479831</v>
      </c>
      <c r="BJ28" t="s">
        <v>61</v>
      </c>
      <c r="BM28" s="20">
        <v>697</v>
      </c>
      <c r="BN28" s="43"/>
      <c r="BO28" s="2">
        <v>297.60000000000002</v>
      </c>
      <c r="BP28" s="2">
        <v>16678.7</v>
      </c>
      <c r="BQ28" s="2">
        <v>17014.900000000001</v>
      </c>
      <c r="BR28" s="12">
        <f t="shared" si="7"/>
        <v>0.98795761362100476</v>
      </c>
      <c r="BS28" t="s">
        <v>67</v>
      </c>
      <c r="BV28" s="20">
        <v>710</v>
      </c>
      <c r="BW28" s="43"/>
      <c r="BX28" s="2">
        <v>24265.200000000001</v>
      </c>
      <c r="BY28" s="2">
        <v>50.9</v>
      </c>
      <c r="BZ28" s="2">
        <v>21135.9</v>
      </c>
      <c r="CA28" s="12">
        <f t="shared" si="14"/>
        <v>49.87958875657057</v>
      </c>
      <c r="CB28" s="25" t="s">
        <v>76</v>
      </c>
      <c r="CE28" s="20">
        <v>723</v>
      </c>
      <c r="CF28" s="43"/>
      <c r="CG28" s="2">
        <v>227.9</v>
      </c>
      <c r="CH28" s="2">
        <v>16878.099999999999</v>
      </c>
      <c r="CI28" s="2">
        <v>17227.2</v>
      </c>
      <c r="CJ28" s="12">
        <f t="shared" si="15"/>
        <v>1.0132232748212193</v>
      </c>
      <c r="CK28" t="s">
        <v>85</v>
      </c>
      <c r="CN28" s="20">
        <v>736</v>
      </c>
      <c r="CO28" s="38"/>
      <c r="CP28" s="2">
        <v>20220.099999999999</v>
      </c>
      <c r="CQ28" s="2">
        <v>0</v>
      </c>
      <c r="CR28" s="2">
        <v>16903.400000000001</v>
      </c>
      <c r="CS28" s="7">
        <f t="shared" si="16"/>
        <v>50</v>
      </c>
      <c r="CT28" s="30" t="s">
        <v>95</v>
      </c>
      <c r="CW28" s="21">
        <v>750</v>
      </c>
      <c r="CX28" s="39"/>
      <c r="CY28" s="9">
        <v>20052</v>
      </c>
      <c r="CZ28" s="9">
        <v>989</v>
      </c>
      <c r="DA28" s="9">
        <v>15959.1</v>
      </c>
      <c r="DB28" s="26">
        <f t="shared" si="17"/>
        <v>46.901454342663435</v>
      </c>
      <c r="DC28" s="30" t="s">
        <v>22</v>
      </c>
      <c r="DF28" s="21">
        <v>760</v>
      </c>
      <c r="DG28" s="38"/>
      <c r="DH28" s="36">
        <v>14007.5</v>
      </c>
      <c r="DI28" s="53">
        <v>6985.5</v>
      </c>
      <c r="DJ28" s="53">
        <v>18231.2</v>
      </c>
      <c r="DK28" s="56">
        <f t="shared" si="18"/>
        <v>30.84190837684848</v>
      </c>
      <c r="DL28" s="30" t="s">
        <v>45</v>
      </c>
      <c r="DS28" s="50"/>
    </row>
    <row r="29" spans="2:123" x14ac:dyDescent="0.3">
      <c r="B29" s="17">
        <v>611</v>
      </c>
      <c r="C29" s="43"/>
      <c r="D29" s="3">
        <v>10542.1</v>
      </c>
      <c r="E29" s="2">
        <v>10090.4</v>
      </c>
      <c r="F29" s="2">
        <v>17027.2</v>
      </c>
      <c r="G29" s="7">
        <f t="shared" si="0"/>
        <v>20.369761323059578</v>
      </c>
      <c r="H29" t="s">
        <v>12</v>
      </c>
      <c r="K29" s="17">
        <v>611</v>
      </c>
      <c r="L29" s="43"/>
      <c r="M29" s="3"/>
      <c r="N29" s="2"/>
      <c r="O29" s="2"/>
      <c r="P29" s="7" t="e">
        <f t="shared" si="1"/>
        <v>#DIV/0!</v>
      </c>
      <c r="Q29" t="s">
        <v>12</v>
      </c>
      <c r="T29" s="20">
        <v>642</v>
      </c>
      <c r="U29" s="43"/>
      <c r="V29" s="3">
        <v>21752.400000000001</v>
      </c>
      <c r="W29" s="2">
        <v>197.1</v>
      </c>
      <c r="X29" s="2">
        <v>16955.599999999999</v>
      </c>
      <c r="Y29" s="7">
        <f t="shared" si="2"/>
        <v>49.41877609757249</v>
      </c>
      <c r="Z29" t="s">
        <v>23</v>
      </c>
      <c r="AC29" s="20">
        <v>642</v>
      </c>
      <c r="AD29" s="43"/>
      <c r="AE29" s="3">
        <v>21935.599999999999</v>
      </c>
      <c r="AF29" s="2">
        <v>21.7</v>
      </c>
      <c r="AG29" s="2">
        <v>16732.3</v>
      </c>
      <c r="AH29" s="7">
        <f t="shared" si="4"/>
        <v>49.93515535819941</v>
      </c>
      <c r="AI29" t="s">
        <v>23</v>
      </c>
      <c r="AL29" s="20">
        <v>659</v>
      </c>
      <c r="AM29" s="43"/>
      <c r="AN29" s="2">
        <v>106.1</v>
      </c>
      <c r="AO29" s="2">
        <v>16187.6</v>
      </c>
      <c r="AP29" s="2">
        <v>16392.3</v>
      </c>
      <c r="AQ29" s="7">
        <f t="shared" si="13"/>
        <v>0.62437851918278375</v>
      </c>
      <c r="AR29" t="s">
        <v>41</v>
      </c>
      <c r="AU29" s="19">
        <v>672</v>
      </c>
      <c r="AV29" s="43"/>
      <c r="AW29" s="2">
        <v>8716.2999999999993</v>
      </c>
      <c r="AX29" s="2">
        <v>11722.3</v>
      </c>
      <c r="AY29" s="2">
        <v>17515.3</v>
      </c>
      <c r="AZ29" s="7">
        <f t="shared" si="19"/>
        <v>16.536970534332841</v>
      </c>
      <c r="BA29" t="s">
        <v>50</v>
      </c>
      <c r="BD29" s="19">
        <v>685</v>
      </c>
      <c r="BE29" s="43"/>
      <c r="BF29" s="2">
        <v>4719.8999999999996</v>
      </c>
      <c r="BG29" s="2">
        <v>13717.3</v>
      </c>
      <c r="BH29" s="2">
        <v>16803.5</v>
      </c>
      <c r="BI29" s="12">
        <f t="shared" si="3"/>
        <v>9.1832058797274385</v>
      </c>
      <c r="BJ29" t="s">
        <v>53</v>
      </c>
      <c r="BM29" s="19">
        <v>698</v>
      </c>
      <c r="BN29" s="43"/>
      <c r="BO29" s="2">
        <v>301.10000000000002</v>
      </c>
      <c r="BP29" s="2">
        <v>17074.099999999999</v>
      </c>
      <c r="BQ29" s="2">
        <v>17437.900000000001</v>
      </c>
      <c r="BR29" s="12">
        <f t="shared" si="7"/>
        <v>1.0431301934292629</v>
      </c>
      <c r="BS29" s="25" t="s">
        <v>68</v>
      </c>
      <c r="BV29" s="19">
        <v>711</v>
      </c>
      <c r="BW29" s="43"/>
      <c r="BX29" s="2">
        <v>21622.9</v>
      </c>
      <c r="BY29" s="2">
        <v>6232.7</v>
      </c>
      <c r="BZ29" s="2">
        <v>22814.400000000001</v>
      </c>
      <c r="CA29" s="12">
        <f t="shared" si="14"/>
        <v>36.340425345395886</v>
      </c>
      <c r="CB29" s="25" t="s">
        <v>77</v>
      </c>
      <c r="CE29" s="19">
        <v>724</v>
      </c>
      <c r="CF29" s="43"/>
      <c r="CG29" s="2">
        <v>22239.8</v>
      </c>
      <c r="CH29" s="2">
        <v>44.1</v>
      </c>
      <c r="CI29" s="2">
        <v>18503</v>
      </c>
      <c r="CJ29" s="12">
        <f t="shared" si="15"/>
        <v>49.880830135653682</v>
      </c>
      <c r="CK29" s="25" t="s">
        <v>86</v>
      </c>
      <c r="CN29" s="20">
        <v>737</v>
      </c>
      <c r="CO29" s="38"/>
      <c r="CP29" s="2">
        <v>19699</v>
      </c>
      <c r="CQ29" s="2">
        <v>0</v>
      </c>
      <c r="CR29" s="2">
        <v>17174.099999999999</v>
      </c>
      <c r="CS29" s="7">
        <f t="shared" si="16"/>
        <v>50</v>
      </c>
      <c r="CT29" s="31" t="s">
        <v>98</v>
      </c>
      <c r="CX29" s="32"/>
      <c r="DG29" s="55"/>
      <c r="DH29" s="49"/>
      <c r="DI29" s="48"/>
      <c r="DJ29" s="48"/>
      <c r="DK29" s="48"/>
      <c r="DL29" s="48"/>
      <c r="DM29" s="48"/>
      <c r="DS29" s="50"/>
    </row>
    <row r="30" spans="2:123" x14ac:dyDescent="0.3">
      <c r="B30" s="17">
        <v>612</v>
      </c>
      <c r="C30" s="43"/>
      <c r="D30" s="3">
        <v>3247.2</v>
      </c>
      <c r="E30" s="2">
        <v>14720.2</v>
      </c>
      <c r="F30" s="2">
        <v>16795.599999999999</v>
      </c>
      <c r="G30" s="7">
        <f t="shared" si="0"/>
        <v>6.1784038676796245</v>
      </c>
      <c r="H30" t="s">
        <v>13</v>
      </c>
      <c r="K30" s="17">
        <v>612</v>
      </c>
      <c r="L30" s="43"/>
      <c r="M30" s="3"/>
      <c r="N30" s="2"/>
      <c r="O30" s="2"/>
      <c r="P30" s="7" t="e">
        <f t="shared" si="1"/>
        <v>#DIV/0!</v>
      </c>
      <c r="Q30" t="s">
        <v>13</v>
      </c>
      <c r="T30" s="20">
        <v>643</v>
      </c>
      <c r="U30" s="43"/>
      <c r="V30" s="3">
        <v>12019.7</v>
      </c>
      <c r="W30" s="2">
        <v>582.9</v>
      </c>
      <c r="X30" s="2">
        <v>16181.4</v>
      </c>
      <c r="Y30" s="7">
        <f t="shared" si="2"/>
        <v>48.198857948014393</v>
      </c>
      <c r="Z30" t="s">
        <v>24</v>
      </c>
      <c r="AC30" s="20">
        <v>643</v>
      </c>
      <c r="AD30" s="43"/>
      <c r="AE30" s="3">
        <v>20424</v>
      </c>
      <c r="AF30" s="2">
        <v>23.3</v>
      </c>
      <c r="AG30" s="2">
        <v>16767.2</v>
      </c>
      <c r="AH30" s="7">
        <f t="shared" si="4"/>
        <v>49.930519108736107</v>
      </c>
      <c r="AI30" t="s">
        <v>30</v>
      </c>
      <c r="AL30" s="20">
        <v>660</v>
      </c>
      <c r="AM30" s="43"/>
      <c r="AN30" s="2">
        <v>109.3</v>
      </c>
      <c r="AO30" s="2">
        <v>17784.3</v>
      </c>
      <c r="AP30" s="2">
        <v>18055</v>
      </c>
      <c r="AQ30" s="7">
        <f t="shared" si="13"/>
        <v>0.74965383550263287</v>
      </c>
      <c r="AR30" t="s">
        <v>43</v>
      </c>
      <c r="AU30" s="20">
        <v>673</v>
      </c>
      <c r="AV30" s="43"/>
      <c r="AW30" s="2">
        <v>1092.3</v>
      </c>
      <c r="AX30" s="2">
        <v>15939.9</v>
      </c>
      <c r="AY30" s="2">
        <v>16728.2</v>
      </c>
      <c r="AZ30" s="7">
        <f t="shared" si="19"/>
        <v>2.3562009062541129</v>
      </c>
      <c r="BA30" t="s">
        <v>51</v>
      </c>
      <c r="BD30" s="20">
        <v>686</v>
      </c>
      <c r="BE30" s="43"/>
      <c r="BF30" s="2">
        <v>1445.6</v>
      </c>
      <c r="BG30" s="2">
        <v>17980.5</v>
      </c>
      <c r="BH30" s="2">
        <v>18410.8</v>
      </c>
      <c r="BI30" s="12">
        <f t="shared" si="3"/>
        <v>1.1686075564342651</v>
      </c>
      <c r="BJ30" t="s">
        <v>54</v>
      </c>
      <c r="BM30" s="20">
        <v>699</v>
      </c>
      <c r="BN30" s="43"/>
      <c r="BO30" s="2">
        <v>117.3</v>
      </c>
      <c r="BP30" s="2">
        <v>16332.9</v>
      </c>
      <c r="BQ30" s="2">
        <v>16544.599999999999</v>
      </c>
      <c r="BR30" s="12">
        <f t="shared" si="7"/>
        <v>0.63978579113426415</v>
      </c>
      <c r="BS30" t="s">
        <v>69</v>
      </c>
      <c r="BV30" s="20">
        <v>712</v>
      </c>
      <c r="BW30" s="43"/>
      <c r="BX30" s="2">
        <v>6423.9</v>
      </c>
      <c r="BY30" s="2">
        <v>18138</v>
      </c>
      <c r="BZ30" s="2">
        <v>22573.4</v>
      </c>
      <c r="CA30" s="12">
        <f t="shared" si="14"/>
        <v>9.8243950844799652</v>
      </c>
      <c r="CB30" t="s">
        <v>78</v>
      </c>
      <c r="CE30" s="20">
        <v>725</v>
      </c>
      <c r="CF30" s="43"/>
      <c r="CG30" s="2">
        <v>21751.7</v>
      </c>
      <c r="CH30" s="2">
        <v>46</v>
      </c>
      <c r="CI30" s="2">
        <v>17821</v>
      </c>
      <c r="CJ30" s="12">
        <f t="shared" si="15"/>
        <v>49.87093878009091</v>
      </c>
      <c r="CK30" t="s">
        <v>87</v>
      </c>
      <c r="CN30" s="20">
        <v>738</v>
      </c>
      <c r="CO30" s="38"/>
      <c r="CP30" s="2">
        <v>19489.599999999999</v>
      </c>
      <c r="CQ30" s="2">
        <v>0</v>
      </c>
      <c r="CR30" s="2">
        <v>17386.5</v>
      </c>
      <c r="CS30" s="7">
        <f t="shared" si="16"/>
        <v>50</v>
      </c>
      <c r="CT30" s="30" t="s">
        <v>97</v>
      </c>
      <c r="CX30" s="32"/>
      <c r="DG30" s="55"/>
      <c r="DH30" s="49"/>
      <c r="DI30" s="48"/>
      <c r="DJ30" s="48"/>
      <c r="DK30" s="48"/>
      <c r="DL30" s="48"/>
      <c r="DM30" s="48"/>
      <c r="DS30" s="50"/>
    </row>
    <row r="31" spans="2:123" ht="15" thickBot="1" x14ac:dyDescent="0.35">
      <c r="B31" s="17">
        <v>613</v>
      </c>
      <c r="C31" s="43"/>
      <c r="D31" s="3"/>
      <c r="E31" s="2">
        <v>0</v>
      </c>
      <c r="F31" s="2">
        <v>1</v>
      </c>
      <c r="G31" s="7">
        <f t="shared" si="0"/>
        <v>50</v>
      </c>
      <c r="H31" t="s">
        <v>14</v>
      </c>
      <c r="K31" s="17">
        <v>613</v>
      </c>
      <c r="L31" s="43"/>
      <c r="M31" s="3"/>
      <c r="N31" s="2"/>
      <c r="O31" s="2"/>
      <c r="P31" s="7" t="e">
        <f t="shared" si="1"/>
        <v>#DIV/0!</v>
      </c>
      <c r="Q31" t="s">
        <v>14</v>
      </c>
      <c r="T31" s="20">
        <v>644</v>
      </c>
      <c r="U31" s="43"/>
      <c r="V31" s="3">
        <v>19020</v>
      </c>
      <c r="W31" s="2">
        <v>1430.3</v>
      </c>
      <c r="X31" s="2">
        <v>16889.2</v>
      </c>
      <c r="Y31" s="7">
        <f t="shared" si="2"/>
        <v>45.7656372119461</v>
      </c>
      <c r="Z31" t="s">
        <v>26</v>
      </c>
      <c r="AC31" s="20">
        <v>644</v>
      </c>
      <c r="AD31" s="43"/>
      <c r="AE31" s="3">
        <v>21173.599999999999</v>
      </c>
      <c r="AF31" s="2">
        <v>0</v>
      </c>
      <c r="AG31" s="2">
        <v>17452.599999999999</v>
      </c>
      <c r="AH31" s="7">
        <f t="shared" si="4"/>
        <v>50</v>
      </c>
      <c r="AI31" t="s">
        <v>26</v>
      </c>
      <c r="AL31" s="21">
        <v>661</v>
      </c>
      <c r="AM31" s="44"/>
      <c r="AN31" s="9">
        <v>121</v>
      </c>
      <c r="AO31" s="9">
        <v>18918.5</v>
      </c>
      <c r="AP31" s="9">
        <v>19250.900000000001</v>
      </c>
      <c r="AQ31" s="10">
        <f t="shared" si="13"/>
        <v>0.86333625960345084</v>
      </c>
      <c r="AR31" t="s">
        <v>42</v>
      </c>
      <c r="AU31" s="24">
        <v>674</v>
      </c>
      <c r="AV31" s="44"/>
      <c r="AW31" s="9">
        <v>280.89999999999998</v>
      </c>
      <c r="AX31" s="9">
        <v>17115.400000000001</v>
      </c>
      <c r="AY31" s="9">
        <v>17454.900000000001</v>
      </c>
      <c r="AZ31" s="10">
        <f t="shared" si="19"/>
        <v>0.97250628763269897</v>
      </c>
      <c r="BA31" t="s">
        <v>52</v>
      </c>
      <c r="BD31" s="24">
        <v>687</v>
      </c>
      <c r="BE31" s="44"/>
      <c r="BF31" s="9">
        <v>721.4</v>
      </c>
      <c r="BG31" s="9">
        <v>18064.8</v>
      </c>
      <c r="BH31" s="9">
        <v>18418.400000000001</v>
      </c>
      <c r="BI31" s="26">
        <f t="shared" si="3"/>
        <v>0.95990965556183527</v>
      </c>
      <c r="BJ31" t="s">
        <v>55</v>
      </c>
      <c r="BM31" s="24">
        <v>700</v>
      </c>
      <c r="BN31" s="44"/>
      <c r="BO31" s="9">
        <v>146.5</v>
      </c>
      <c r="BP31" s="9">
        <v>16914.7</v>
      </c>
      <c r="BQ31" s="9">
        <v>17144.7</v>
      </c>
      <c r="BR31" s="26">
        <f t="shared" si="7"/>
        <v>0.6707612265014844</v>
      </c>
      <c r="BS31" t="s">
        <v>70</v>
      </c>
      <c r="BV31" s="24">
        <v>713</v>
      </c>
      <c r="BW31" s="44"/>
      <c r="BX31" s="9">
        <v>1101.0999999999999</v>
      </c>
      <c r="BY31" s="9">
        <v>21342.5</v>
      </c>
      <c r="BZ31" s="9">
        <v>22428.9</v>
      </c>
      <c r="CA31" s="26">
        <f t="shared" si="14"/>
        <v>2.4218753483229256</v>
      </c>
      <c r="CB31" t="s">
        <v>79</v>
      </c>
      <c r="CE31" s="24">
        <v>726</v>
      </c>
      <c r="CF31" s="44"/>
      <c r="CG31" s="9">
        <v>22691.9</v>
      </c>
      <c r="CH31" s="9">
        <v>40.1</v>
      </c>
      <c r="CI31" s="9">
        <v>19127.400000000001</v>
      </c>
      <c r="CJ31" s="26">
        <f t="shared" si="15"/>
        <v>49.89517655300773</v>
      </c>
      <c r="CK31" t="s">
        <v>88</v>
      </c>
      <c r="CN31" s="20">
        <v>739</v>
      </c>
      <c r="CO31" s="38"/>
      <c r="CP31" s="2">
        <v>19359.8</v>
      </c>
      <c r="CQ31" s="2">
        <v>0</v>
      </c>
      <c r="CR31" s="2">
        <v>16769.599999999999</v>
      </c>
      <c r="CS31" s="7">
        <f t="shared" si="16"/>
        <v>50</v>
      </c>
      <c r="CT31" s="30" t="s">
        <v>96</v>
      </c>
      <c r="CX31" s="32"/>
      <c r="DG31" s="55"/>
      <c r="DH31" s="49"/>
      <c r="DI31" s="48"/>
      <c r="DJ31" s="48"/>
      <c r="DK31" s="48"/>
      <c r="DL31" s="48"/>
      <c r="DM31" s="48"/>
      <c r="DS31" s="50"/>
    </row>
    <row r="32" spans="2:123" ht="15" thickBot="1" x14ac:dyDescent="0.35">
      <c r="B32" s="17">
        <v>614</v>
      </c>
      <c r="C32" s="43"/>
      <c r="D32" s="3"/>
      <c r="E32" s="2">
        <v>0</v>
      </c>
      <c r="F32" s="2">
        <v>1</v>
      </c>
      <c r="G32" s="7">
        <f t="shared" si="0"/>
        <v>50</v>
      </c>
      <c r="H32" t="s">
        <v>15</v>
      </c>
      <c r="K32" s="17">
        <v>614</v>
      </c>
      <c r="L32" s="43"/>
      <c r="M32" s="3"/>
      <c r="N32" s="2"/>
      <c r="O32" s="2"/>
      <c r="P32" s="7" t="e">
        <f t="shared" si="1"/>
        <v>#DIV/0!</v>
      </c>
      <c r="Q32" t="s">
        <v>15</v>
      </c>
      <c r="T32" s="20">
        <v>645</v>
      </c>
      <c r="U32" s="43"/>
      <c r="V32" s="3">
        <v>18738.3</v>
      </c>
      <c r="W32" s="2">
        <v>1341</v>
      </c>
      <c r="X32" s="2">
        <v>16714.900000000001</v>
      </c>
      <c r="Y32" s="7">
        <f t="shared" si="2"/>
        <v>45.988608965653398</v>
      </c>
      <c r="Z32" t="s">
        <v>25</v>
      </c>
      <c r="AC32" s="20">
        <v>645</v>
      </c>
      <c r="AD32" s="43"/>
      <c r="AE32" s="3">
        <v>19485.8</v>
      </c>
      <c r="AF32" s="2">
        <v>24.7</v>
      </c>
      <c r="AG32" s="2">
        <v>16949.3</v>
      </c>
      <c r="AH32" s="7">
        <f t="shared" si="4"/>
        <v>49.927135633919981</v>
      </c>
      <c r="AI32" t="s">
        <v>25</v>
      </c>
      <c r="CN32" s="21">
        <v>740</v>
      </c>
      <c r="CO32" s="39"/>
      <c r="CP32" s="9">
        <v>14409</v>
      </c>
      <c r="CQ32" s="9">
        <v>7305.5</v>
      </c>
      <c r="CR32" s="9">
        <v>17680.900000000001</v>
      </c>
      <c r="CS32" s="10">
        <f t="shared" si="16"/>
        <v>29.340700982416056</v>
      </c>
      <c r="CT32" s="30" t="s">
        <v>99</v>
      </c>
      <c r="DG32" s="48"/>
      <c r="DH32" s="49"/>
      <c r="DI32" s="48"/>
      <c r="DJ32" s="48"/>
      <c r="DK32" s="48"/>
      <c r="DL32" s="48"/>
      <c r="DM32" s="48"/>
      <c r="DS32" s="50"/>
    </row>
    <row r="33" spans="2:123" x14ac:dyDescent="0.3">
      <c r="B33" s="17">
        <v>615</v>
      </c>
      <c r="C33" s="43"/>
      <c r="D33" s="3"/>
      <c r="E33" s="2">
        <v>0</v>
      </c>
      <c r="F33" s="2">
        <v>1</v>
      </c>
      <c r="G33" s="7">
        <f t="shared" si="0"/>
        <v>50</v>
      </c>
      <c r="H33" t="s">
        <v>16</v>
      </c>
      <c r="K33" s="17">
        <v>615</v>
      </c>
      <c r="L33" s="43"/>
      <c r="M33" s="3"/>
      <c r="N33" s="2"/>
      <c r="O33" s="2"/>
      <c r="P33" s="7" t="e">
        <f t="shared" si="1"/>
        <v>#DIV/0!</v>
      </c>
      <c r="Q33" t="s">
        <v>16</v>
      </c>
      <c r="T33" s="20">
        <v>646</v>
      </c>
      <c r="U33" s="43"/>
      <c r="V33" s="3">
        <v>8959</v>
      </c>
      <c r="W33" s="2">
        <v>8803</v>
      </c>
      <c r="X33" s="2">
        <v>15128.9</v>
      </c>
      <c r="Y33" s="7">
        <f t="shared" si="2"/>
        <v>20.906675303558089</v>
      </c>
      <c r="Z33" t="s">
        <v>27</v>
      </c>
      <c r="AC33" s="20">
        <v>646</v>
      </c>
      <c r="AD33" s="43"/>
      <c r="AE33" s="3">
        <v>5272.6</v>
      </c>
      <c r="AF33" s="2">
        <v>13017.7</v>
      </c>
      <c r="AG33" s="2">
        <v>16805.2</v>
      </c>
      <c r="AH33" s="7">
        <f t="shared" si="4"/>
        <v>11.268833456311143</v>
      </c>
      <c r="AI33" t="s">
        <v>27</v>
      </c>
      <c r="DG33" s="48"/>
      <c r="DH33" s="49"/>
      <c r="DI33" s="48"/>
      <c r="DJ33" s="48"/>
      <c r="DK33" s="48"/>
      <c r="DL33" s="48"/>
      <c r="DM33" s="48"/>
      <c r="DS33" s="50"/>
    </row>
    <row r="34" spans="2:123" ht="15" thickBot="1" x14ac:dyDescent="0.35">
      <c r="B34" s="17">
        <v>616</v>
      </c>
      <c r="C34" s="43"/>
      <c r="D34" s="3">
        <v>5112.7</v>
      </c>
      <c r="E34" s="2">
        <v>13668</v>
      </c>
      <c r="F34" s="2">
        <v>17138.099999999999</v>
      </c>
      <c r="G34" s="7">
        <f t="shared" si="0"/>
        <v>10.123934391793719</v>
      </c>
      <c r="H34" t="s">
        <v>17</v>
      </c>
      <c r="K34" s="17">
        <v>616</v>
      </c>
      <c r="L34" s="43"/>
      <c r="M34" s="3"/>
      <c r="N34" s="2"/>
      <c r="O34" s="2"/>
      <c r="P34" s="7" t="e">
        <f t="shared" si="1"/>
        <v>#DIV/0!</v>
      </c>
      <c r="Q34" t="s">
        <v>17</v>
      </c>
      <c r="T34" s="20">
        <v>647</v>
      </c>
      <c r="U34" s="43"/>
      <c r="V34" s="3">
        <v>6454.7</v>
      </c>
      <c r="W34" s="2">
        <v>11998.3</v>
      </c>
      <c r="X34" s="2">
        <v>16337.6</v>
      </c>
      <c r="Y34" s="7">
        <f t="shared" si="2"/>
        <v>13.280102340613068</v>
      </c>
      <c r="Z34" t="s">
        <v>28</v>
      </c>
      <c r="AC34" s="20">
        <v>647</v>
      </c>
      <c r="AD34" s="43"/>
      <c r="AE34" s="3">
        <v>3111.6</v>
      </c>
      <c r="AF34" s="2">
        <v>15062</v>
      </c>
      <c r="AG34" s="2">
        <v>17102.3</v>
      </c>
      <c r="AH34" s="7">
        <f t="shared" si="4"/>
        <v>5.9649871654689699</v>
      </c>
      <c r="AI34" t="s">
        <v>28</v>
      </c>
      <c r="DG34" s="48"/>
      <c r="DH34" s="49"/>
      <c r="DI34" s="48"/>
      <c r="DJ34" s="48"/>
      <c r="DK34" s="48"/>
      <c r="DL34" s="48"/>
      <c r="DM34" s="48"/>
      <c r="DS34" s="50"/>
    </row>
    <row r="35" spans="2:123" ht="15" thickBot="1" x14ac:dyDescent="0.35">
      <c r="B35" s="17">
        <v>617</v>
      </c>
      <c r="C35" s="43"/>
      <c r="D35" s="3">
        <v>506.2</v>
      </c>
      <c r="E35" s="2">
        <v>16820.2</v>
      </c>
      <c r="F35" s="2">
        <v>17318.2</v>
      </c>
      <c r="G35" s="7">
        <f t="shared" si="0"/>
        <v>1.4377937660957836</v>
      </c>
      <c r="H35" t="s">
        <v>18</v>
      </c>
      <c r="K35" s="17">
        <v>617</v>
      </c>
      <c r="L35" s="43"/>
      <c r="M35" s="3"/>
      <c r="N35" s="2"/>
      <c r="O35" s="2"/>
      <c r="P35" s="7" t="e">
        <f t="shared" si="1"/>
        <v>#DIV/0!</v>
      </c>
      <c r="Q35" t="s">
        <v>18</v>
      </c>
      <c r="T35" s="21">
        <v>648</v>
      </c>
      <c r="U35" s="44"/>
      <c r="V35" s="8">
        <v>12269.5</v>
      </c>
      <c r="W35" s="9">
        <v>8208</v>
      </c>
      <c r="X35" s="9">
        <v>17094.400000000001</v>
      </c>
      <c r="Y35" s="10">
        <f t="shared" si="2"/>
        <v>25.992137776113815</v>
      </c>
      <c r="Z35" t="s">
        <v>29</v>
      </c>
      <c r="AC35" s="21">
        <v>648</v>
      </c>
      <c r="AD35" s="44"/>
      <c r="AE35" s="8">
        <v>11924.7</v>
      </c>
      <c r="AF35" s="9">
        <v>8228.9</v>
      </c>
      <c r="AG35" s="9">
        <v>16907.900000000001</v>
      </c>
      <c r="AH35" s="10">
        <f t="shared" si="4"/>
        <v>25.665517302562712</v>
      </c>
      <c r="AI35" t="s">
        <v>29</v>
      </c>
      <c r="AL35" s="22">
        <v>649</v>
      </c>
      <c r="AM35" s="42" t="s">
        <v>2</v>
      </c>
      <c r="AN35" s="4">
        <v>20558.3</v>
      </c>
      <c r="AO35" s="5">
        <v>37.1</v>
      </c>
      <c r="AP35" s="5">
        <v>17277.3</v>
      </c>
      <c r="AQ35" s="6">
        <f>((AP35-AO35)/(2*AP35))*100</f>
        <v>49.892633686976559</v>
      </c>
      <c r="AR35" t="s">
        <v>10</v>
      </c>
      <c r="AU35" s="22">
        <v>662</v>
      </c>
      <c r="AV35" s="42" t="s">
        <v>2</v>
      </c>
      <c r="AW35" s="4">
        <v>19945.099999999999</v>
      </c>
      <c r="AX35" s="5">
        <v>62.6</v>
      </c>
      <c r="AY35" s="5">
        <v>16483.3</v>
      </c>
      <c r="AZ35" s="6">
        <f>((AY35-AX35)/(2*AY35))*100</f>
        <v>49.810110839455696</v>
      </c>
      <c r="BA35" t="s">
        <v>10</v>
      </c>
      <c r="BD35" s="22">
        <v>675</v>
      </c>
      <c r="BE35" s="42" t="s">
        <v>2</v>
      </c>
      <c r="BF35" s="4">
        <v>19986.7</v>
      </c>
      <c r="BG35" s="5">
        <v>174.1</v>
      </c>
      <c r="BH35" s="5">
        <v>18143.5</v>
      </c>
      <c r="BI35" s="6">
        <f t="shared" si="3"/>
        <v>49.52021385069034</v>
      </c>
      <c r="BJ35" t="s">
        <v>10</v>
      </c>
      <c r="BM35" s="22">
        <v>688</v>
      </c>
      <c r="BN35" s="42" t="s">
        <v>2</v>
      </c>
      <c r="BO35" s="4">
        <v>19907.8</v>
      </c>
      <c r="BP35" s="5">
        <v>50.2</v>
      </c>
      <c r="BQ35" s="5">
        <v>17726.099999999999</v>
      </c>
      <c r="BR35" s="6">
        <f t="shared" si="7"/>
        <v>49.85840088908445</v>
      </c>
      <c r="BS35" t="s">
        <v>10</v>
      </c>
      <c r="BV35" s="22">
        <v>701</v>
      </c>
      <c r="BW35" s="42" t="s">
        <v>2</v>
      </c>
      <c r="BX35" s="4">
        <v>24295.200000000001</v>
      </c>
      <c r="BY35" s="5">
        <v>50.3</v>
      </c>
      <c r="BZ35" s="5">
        <v>22350.1</v>
      </c>
      <c r="CA35" s="6">
        <f t="shared" ref="CA35:CA47" si="20">((BZ35-BY35)/(2*BZ35))*100</f>
        <v>49.887472539272757</v>
      </c>
      <c r="CB35" t="s">
        <v>10</v>
      </c>
      <c r="CE35" s="22">
        <v>714</v>
      </c>
      <c r="CF35" s="42" t="s">
        <v>2</v>
      </c>
      <c r="CG35" s="4">
        <v>21151.5</v>
      </c>
      <c r="CH35" s="5">
        <v>64.099999999999994</v>
      </c>
      <c r="CI35" s="5">
        <v>18923.400000000001</v>
      </c>
      <c r="CJ35" s="6">
        <f t="shared" ref="CJ35:CJ47" si="21">((CI35-CH35)/(2*CI35))*100</f>
        <v>49.830632972932989</v>
      </c>
      <c r="CK35" t="s">
        <v>10</v>
      </c>
      <c r="CN35" s="22">
        <v>727</v>
      </c>
      <c r="CO35" s="37" t="s">
        <v>2</v>
      </c>
      <c r="CP35" s="4">
        <v>19201.5</v>
      </c>
      <c r="CQ35" s="5">
        <v>0</v>
      </c>
      <c r="CR35" s="5">
        <v>17713.8</v>
      </c>
      <c r="CS35" s="6">
        <f t="shared" ref="CS35:CS48" si="22">((CR35-CQ35)/(2*CR35))*100</f>
        <v>50</v>
      </c>
      <c r="CT35" s="30" t="s">
        <v>10</v>
      </c>
      <c r="CW35" s="22">
        <v>741</v>
      </c>
      <c r="CX35" s="37" t="s">
        <v>102</v>
      </c>
      <c r="CY35" s="4">
        <v>18841.8</v>
      </c>
      <c r="CZ35" s="5">
        <v>1695.7</v>
      </c>
      <c r="DA35" s="5">
        <v>17620.7</v>
      </c>
      <c r="DB35" s="6">
        <f t="shared" ref="DB35:DB44" si="23">((DA35-CZ35)/(2*DA35))*100</f>
        <v>45.188329635031522</v>
      </c>
      <c r="DC35" t="s">
        <v>10</v>
      </c>
      <c r="DF35" s="22">
        <v>751</v>
      </c>
      <c r="DG35" s="38" t="s">
        <v>102</v>
      </c>
      <c r="DH35" s="13">
        <v>21044.400000000001</v>
      </c>
      <c r="DI35" s="11">
        <v>1626</v>
      </c>
      <c r="DJ35" s="11">
        <v>17116.7</v>
      </c>
      <c r="DK35" s="12">
        <f t="shared" ref="DK35:DK44" si="24">((DJ35-DI35)/(2*DJ35))*100</f>
        <v>45.250252677209978</v>
      </c>
      <c r="DL35" t="s">
        <v>10</v>
      </c>
      <c r="DS35" s="50"/>
    </row>
    <row r="36" spans="2:123" ht="15" thickBot="1" x14ac:dyDescent="0.35">
      <c r="B36" s="18">
        <v>618</v>
      </c>
      <c r="C36" s="44"/>
      <c r="D36" s="8">
        <v>189.5</v>
      </c>
      <c r="E36" s="9">
        <v>19600.3</v>
      </c>
      <c r="F36" s="9">
        <v>20061.5</v>
      </c>
      <c r="G36" s="10">
        <f t="shared" si="0"/>
        <v>1.1494653939137172</v>
      </c>
      <c r="H36" t="s">
        <v>19</v>
      </c>
      <c r="K36" s="18">
        <v>618</v>
      </c>
      <c r="L36" s="44"/>
      <c r="M36" s="8"/>
      <c r="N36" s="9"/>
      <c r="O36" s="9"/>
      <c r="P36" s="10" t="e">
        <f t="shared" si="1"/>
        <v>#DIV/0!</v>
      </c>
      <c r="Q36" t="s">
        <v>19</v>
      </c>
      <c r="AL36" s="20">
        <v>650</v>
      </c>
      <c r="AM36" s="43"/>
      <c r="AN36" s="3">
        <v>20935.7</v>
      </c>
      <c r="AO36" s="2">
        <v>292.60000000000002</v>
      </c>
      <c r="AP36" s="2">
        <v>16920.8</v>
      </c>
      <c r="AQ36" s="7">
        <f t="shared" ref="AQ36:AQ47" si="25">((AP36-AO36)/(2*AP36))*100</f>
        <v>49.135383669802849</v>
      </c>
      <c r="AR36" t="s">
        <v>11</v>
      </c>
      <c r="AU36" s="20">
        <v>663</v>
      </c>
      <c r="AV36" s="43"/>
      <c r="AW36" s="3">
        <v>20063.8</v>
      </c>
      <c r="AX36" s="2">
        <v>715.9</v>
      </c>
      <c r="AY36" s="2">
        <v>16143</v>
      </c>
      <c r="AZ36" s="7">
        <f t="shared" ref="AZ36:AZ47" si="26">((AY36-AX36)/(2*AY36))*100</f>
        <v>47.782630242210246</v>
      </c>
      <c r="BA36" t="s">
        <v>11</v>
      </c>
      <c r="BD36" s="20">
        <v>676</v>
      </c>
      <c r="BE36" s="43"/>
      <c r="BF36" s="3">
        <v>19000.900000000001</v>
      </c>
      <c r="BG36" s="2">
        <v>2212.8000000000002</v>
      </c>
      <c r="BH36" s="2">
        <v>17874</v>
      </c>
      <c r="BI36" s="12">
        <f t="shared" si="3"/>
        <v>43.810003356831153</v>
      </c>
      <c r="BJ36" t="s">
        <v>11</v>
      </c>
      <c r="BM36" s="20">
        <v>689</v>
      </c>
      <c r="BN36" s="43"/>
      <c r="BO36" s="3">
        <v>20802.099999999999</v>
      </c>
      <c r="BP36" s="2">
        <v>124.2</v>
      </c>
      <c r="BQ36" s="2">
        <v>17440.8</v>
      </c>
      <c r="BR36" s="12">
        <f t="shared" si="7"/>
        <v>49.643938351451766</v>
      </c>
      <c r="BS36" t="s">
        <v>11</v>
      </c>
      <c r="BV36" s="20">
        <v>702</v>
      </c>
      <c r="BW36" s="43"/>
      <c r="BX36" s="3">
        <v>22583.8</v>
      </c>
      <c r="BY36" s="2">
        <v>3555.4</v>
      </c>
      <c r="BZ36" s="2">
        <v>22206.6</v>
      </c>
      <c r="CA36" s="12">
        <f t="shared" si="20"/>
        <v>41.994722289769705</v>
      </c>
      <c r="CB36" t="s">
        <v>11</v>
      </c>
      <c r="CE36" s="20">
        <v>715</v>
      </c>
      <c r="CF36" s="43"/>
      <c r="CG36" s="3">
        <v>16490.3</v>
      </c>
      <c r="CH36" s="2">
        <v>238.3</v>
      </c>
      <c r="CI36" s="2">
        <v>12446.9</v>
      </c>
      <c r="CJ36" s="12">
        <f t="shared" si="21"/>
        <v>49.042733532044124</v>
      </c>
      <c r="CK36" t="s">
        <v>11</v>
      </c>
      <c r="CN36" s="20">
        <v>728</v>
      </c>
      <c r="CO36" s="38"/>
      <c r="CP36" s="3">
        <v>19897.400000000001</v>
      </c>
      <c r="CQ36" s="2">
        <v>108.5</v>
      </c>
      <c r="CR36" s="2">
        <v>17862.2</v>
      </c>
      <c r="CS36" s="7">
        <f t="shared" si="22"/>
        <v>49.696286011801462</v>
      </c>
      <c r="CT36" s="30" t="s">
        <v>11</v>
      </c>
      <c r="CW36" s="20">
        <v>742</v>
      </c>
      <c r="CX36" s="38"/>
      <c r="CY36" s="3">
        <v>19411.7</v>
      </c>
      <c r="CZ36" s="2">
        <v>3090.9</v>
      </c>
      <c r="DA36" s="2">
        <v>17393.5</v>
      </c>
      <c r="DB36" s="12">
        <f t="shared" si="23"/>
        <v>41.114784258487369</v>
      </c>
      <c r="DC36" s="30" t="s">
        <v>11</v>
      </c>
      <c r="DF36" s="20">
        <v>752</v>
      </c>
      <c r="DG36" s="38"/>
      <c r="DH36" s="13">
        <v>19548.8</v>
      </c>
      <c r="DI36" s="11">
        <v>3889.2</v>
      </c>
      <c r="DJ36" s="11">
        <v>16939.099999999999</v>
      </c>
      <c r="DK36" s="12">
        <f t="shared" si="24"/>
        <v>38.520051242391858</v>
      </c>
      <c r="DL36" s="30" t="s">
        <v>11</v>
      </c>
      <c r="DS36" s="50"/>
    </row>
    <row r="37" spans="2:123" x14ac:dyDescent="0.3">
      <c r="K37" s="1"/>
      <c r="L37" s="1"/>
      <c r="M37" s="1"/>
      <c r="AL37" s="20">
        <v>651</v>
      </c>
      <c r="AM37" s="43"/>
      <c r="AN37" s="3">
        <v>16273.3</v>
      </c>
      <c r="AO37" s="2">
        <v>5628.7</v>
      </c>
      <c r="AP37" s="2">
        <v>16935.599999999999</v>
      </c>
      <c r="AQ37" s="7">
        <f t="shared" si="25"/>
        <v>33.382047285009094</v>
      </c>
      <c r="AR37" t="s">
        <v>12</v>
      </c>
      <c r="AU37" s="19">
        <v>664</v>
      </c>
      <c r="AV37" s="43"/>
      <c r="AW37" s="3">
        <v>14670.1</v>
      </c>
      <c r="AX37" s="2">
        <v>5649.2</v>
      </c>
      <c r="AY37" s="2">
        <v>15773.2</v>
      </c>
      <c r="AZ37" s="7">
        <f t="shared" si="26"/>
        <v>32.092409910481067</v>
      </c>
      <c r="BA37" t="s">
        <v>12</v>
      </c>
      <c r="BD37" s="19">
        <v>677</v>
      </c>
      <c r="BE37" s="43"/>
      <c r="BF37" s="3">
        <v>14486.5</v>
      </c>
      <c r="BG37" s="2">
        <v>11201.6</v>
      </c>
      <c r="BH37" s="2">
        <v>22003.8</v>
      </c>
      <c r="BI37" s="12">
        <f t="shared" si="3"/>
        <v>24.546214744725908</v>
      </c>
      <c r="BJ37" t="s">
        <v>12</v>
      </c>
      <c r="BM37" s="19">
        <v>690</v>
      </c>
      <c r="BN37" s="43"/>
      <c r="BO37" s="3">
        <v>17372.400000000001</v>
      </c>
      <c r="BP37" s="2">
        <v>4693.7</v>
      </c>
      <c r="BQ37" s="2">
        <v>17778.900000000001</v>
      </c>
      <c r="BR37" s="12">
        <f t="shared" si="7"/>
        <v>36.799802012497963</v>
      </c>
      <c r="BS37" t="s">
        <v>12</v>
      </c>
      <c r="BV37" s="19">
        <v>703</v>
      </c>
      <c r="BW37" s="43"/>
      <c r="BX37" s="3">
        <v>18482.3</v>
      </c>
      <c r="BY37" s="2">
        <v>8223.2999999999993</v>
      </c>
      <c r="BZ37" s="2">
        <v>22418.5</v>
      </c>
      <c r="CA37" s="12">
        <f t="shared" si="20"/>
        <v>31.659566875571514</v>
      </c>
      <c r="CB37" t="s">
        <v>12</v>
      </c>
      <c r="CE37" s="19">
        <v>716</v>
      </c>
      <c r="CF37" s="43"/>
      <c r="CG37" s="3">
        <v>16973.599999999999</v>
      </c>
      <c r="CH37" s="2">
        <v>5603.7</v>
      </c>
      <c r="CI37" s="2">
        <v>17441.5</v>
      </c>
      <c r="CJ37" s="12">
        <f t="shared" si="21"/>
        <v>33.935728005045434</v>
      </c>
      <c r="CK37" t="s">
        <v>12</v>
      </c>
      <c r="CN37" s="20">
        <v>729</v>
      </c>
      <c r="CO37" s="38"/>
      <c r="CP37" s="3">
        <v>16037</v>
      </c>
      <c r="CQ37" s="2">
        <v>5828.6</v>
      </c>
      <c r="CR37" s="2">
        <v>18035.599999999999</v>
      </c>
      <c r="CS37" s="7">
        <f t="shared" si="22"/>
        <v>33.841402559382551</v>
      </c>
      <c r="CT37" s="30" t="s">
        <v>12</v>
      </c>
      <c r="CW37" s="19">
        <v>743</v>
      </c>
      <c r="CX37" s="38"/>
      <c r="CY37" s="3">
        <v>12575.1</v>
      </c>
      <c r="CZ37" s="2">
        <v>9962.7000000000007</v>
      </c>
      <c r="DA37" s="2">
        <v>17529.099999999999</v>
      </c>
      <c r="DB37" s="12">
        <f t="shared" si="23"/>
        <v>21.58239727082394</v>
      </c>
      <c r="DC37" s="30" t="s">
        <v>12</v>
      </c>
      <c r="DF37" s="19">
        <v>753</v>
      </c>
      <c r="DG37" s="38"/>
      <c r="DH37" s="13">
        <v>12490.7</v>
      </c>
      <c r="DI37" s="11">
        <v>9141.6</v>
      </c>
      <c r="DJ37" s="11">
        <v>16314.4</v>
      </c>
      <c r="DK37" s="12">
        <f t="shared" si="24"/>
        <v>21.983033393811599</v>
      </c>
      <c r="DL37" s="30" t="s">
        <v>12</v>
      </c>
      <c r="DS37" s="50"/>
    </row>
    <row r="38" spans="2:123" ht="15" thickBot="1" x14ac:dyDescent="0.35">
      <c r="K38" s="1"/>
      <c r="L38" s="1"/>
      <c r="M38" s="1"/>
      <c r="AL38" s="20">
        <v>652</v>
      </c>
      <c r="AM38" s="43"/>
      <c r="AN38" s="3">
        <v>4705.7</v>
      </c>
      <c r="AO38" s="2">
        <v>13903.7</v>
      </c>
      <c r="AP38" s="2">
        <v>16835.599999999999</v>
      </c>
      <c r="AQ38" s="7">
        <f t="shared" si="25"/>
        <v>8.7074413742307915</v>
      </c>
      <c r="AR38" t="s">
        <v>13</v>
      </c>
      <c r="AU38" s="20">
        <v>665</v>
      </c>
      <c r="AV38" s="43"/>
      <c r="AW38" s="3">
        <v>187.1</v>
      </c>
      <c r="AX38" s="2">
        <v>17290.900000000001</v>
      </c>
      <c r="AY38" s="2">
        <v>17539.3</v>
      </c>
      <c r="AZ38" s="7">
        <f>((AY38-AX38)/(2*AY38))*100</f>
        <v>0.70812404143836372</v>
      </c>
      <c r="BA38" t="s">
        <v>13</v>
      </c>
      <c r="BD38" s="20">
        <v>678</v>
      </c>
      <c r="BE38" s="43"/>
      <c r="BF38" s="3">
        <v>4031</v>
      </c>
      <c r="BG38" s="2">
        <v>16628.099999999999</v>
      </c>
      <c r="BH38" s="2">
        <v>19396.400000000001</v>
      </c>
      <c r="BI38" s="12">
        <f t="shared" si="3"/>
        <v>7.1361180425233623</v>
      </c>
      <c r="BJ38" t="s">
        <v>13</v>
      </c>
      <c r="BM38" s="20">
        <v>691</v>
      </c>
      <c r="BN38" s="43"/>
      <c r="BO38" s="3">
        <v>5008.2</v>
      </c>
      <c r="BP38" s="2">
        <v>15081.3</v>
      </c>
      <c r="BQ38" s="2">
        <v>18569.099999999999</v>
      </c>
      <c r="BR38" s="12">
        <f t="shared" si="7"/>
        <v>9.3914083073493053</v>
      </c>
      <c r="BS38" t="s">
        <v>13</v>
      </c>
      <c r="BV38" s="20">
        <v>704</v>
      </c>
      <c r="BW38" s="43"/>
      <c r="BX38" s="3">
        <v>5448.2</v>
      </c>
      <c r="BY38" s="2">
        <v>18055.3</v>
      </c>
      <c r="BZ38" s="2">
        <v>21620.5</v>
      </c>
      <c r="CA38" s="12">
        <f t="shared" si="20"/>
        <v>8.2449527069216746</v>
      </c>
      <c r="CB38" t="s">
        <v>13</v>
      </c>
      <c r="CE38" s="20">
        <v>717</v>
      </c>
      <c r="CF38" s="43"/>
      <c r="CG38" s="3">
        <v>4483.8999999999996</v>
      </c>
      <c r="CH38" s="2">
        <v>14274.2</v>
      </c>
      <c r="CI38" s="2">
        <v>17097</v>
      </c>
      <c r="CJ38" s="12">
        <f t="shared" si="21"/>
        <v>8.2552494589694074</v>
      </c>
      <c r="CK38" t="s">
        <v>13</v>
      </c>
      <c r="CN38" s="20">
        <v>730</v>
      </c>
      <c r="CO38" s="38"/>
      <c r="CP38" s="3">
        <v>4688.6000000000004</v>
      </c>
      <c r="CQ38" s="2">
        <v>14979.3</v>
      </c>
      <c r="CR38" s="2">
        <v>18097.900000000001</v>
      </c>
      <c r="CS38" s="7">
        <f t="shared" si="22"/>
        <v>8.6159167638234315</v>
      </c>
      <c r="CT38" s="30" t="s">
        <v>13</v>
      </c>
      <c r="CW38" s="20">
        <v>744</v>
      </c>
      <c r="CX38" s="38"/>
      <c r="CY38" s="3">
        <v>3703.4</v>
      </c>
      <c r="CZ38" s="2">
        <v>14798.5</v>
      </c>
      <c r="DA38" s="2">
        <v>17118.7</v>
      </c>
      <c r="DB38" s="12">
        <f t="shared" si="23"/>
        <v>6.7767996401595934</v>
      </c>
      <c r="DC38" s="30" t="s">
        <v>13</v>
      </c>
      <c r="DF38" s="20">
        <v>754</v>
      </c>
      <c r="DG38" s="38"/>
      <c r="DH38" s="13">
        <v>3222.4</v>
      </c>
      <c r="DI38" s="11">
        <v>14810.6</v>
      </c>
      <c r="DJ38" s="11">
        <v>16570.2</v>
      </c>
      <c r="DK38" s="12">
        <f t="shared" si="24"/>
        <v>5.3095315687197502</v>
      </c>
      <c r="DL38" s="30" t="s">
        <v>13</v>
      </c>
      <c r="DS38" s="50"/>
    </row>
    <row r="39" spans="2:123" x14ac:dyDescent="0.3">
      <c r="B39" s="16">
        <v>609</v>
      </c>
      <c r="C39" s="42" t="s">
        <v>3</v>
      </c>
      <c r="D39" s="4"/>
      <c r="E39" s="5"/>
      <c r="F39" s="5"/>
      <c r="G39" s="6">
        <v>49.105547000000001</v>
      </c>
      <c r="H39" t="s">
        <v>10</v>
      </c>
      <c r="K39" s="16">
        <v>609</v>
      </c>
      <c r="L39" s="42" t="s">
        <v>3</v>
      </c>
      <c r="M39" s="4">
        <v>18899.599999999999</v>
      </c>
      <c r="N39" s="5">
        <v>1050.5999999999999</v>
      </c>
      <c r="O39" s="5">
        <v>16871.599999999999</v>
      </c>
      <c r="P39" s="6">
        <f t="shared" si="1"/>
        <v>46.886483795253561</v>
      </c>
      <c r="Q39" t="s">
        <v>10</v>
      </c>
      <c r="T39" s="22">
        <v>640</v>
      </c>
      <c r="U39" s="42" t="s">
        <v>3</v>
      </c>
      <c r="V39" s="4">
        <v>21638.7</v>
      </c>
      <c r="W39" s="5">
        <v>38.799999999999997</v>
      </c>
      <c r="X39" s="5">
        <v>16296.3</v>
      </c>
      <c r="Y39" s="6">
        <f t="shared" si="2"/>
        <v>49.880954572510326</v>
      </c>
      <c r="Z39" t="s">
        <v>21</v>
      </c>
      <c r="AC39" s="22">
        <v>640</v>
      </c>
      <c r="AD39" s="42" t="s">
        <v>3</v>
      </c>
      <c r="AE39" s="4">
        <v>21485.8</v>
      </c>
      <c r="AF39" s="5">
        <v>21.1</v>
      </c>
      <c r="AG39" s="5">
        <v>15951</v>
      </c>
      <c r="AH39" s="6">
        <f t="shared" si="4"/>
        <v>49.933859946084887</v>
      </c>
      <c r="AI39" t="s">
        <v>21</v>
      </c>
      <c r="AL39" s="20">
        <v>653</v>
      </c>
      <c r="AM39" s="43"/>
      <c r="AN39" s="3">
        <v>116.6</v>
      </c>
      <c r="AO39" s="2">
        <v>16661</v>
      </c>
      <c r="AP39" s="2">
        <v>16881.599999999999</v>
      </c>
      <c r="AQ39" s="7">
        <f t="shared" si="25"/>
        <v>0.6533740877641887</v>
      </c>
      <c r="AR39" t="s">
        <v>35</v>
      </c>
      <c r="AU39" s="19">
        <v>666</v>
      </c>
      <c r="AV39" s="43"/>
      <c r="AW39" s="3">
        <v>20487.099999999999</v>
      </c>
      <c r="AX39" s="2">
        <v>70.400000000000006</v>
      </c>
      <c r="AY39" s="2">
        <v>15975.9</v>
      </c>
      <c r="AZ39" s="7">
        <f t="shared" si="26"/>
        <v>49.779668125113453</v>
      </c>
      <c r="BA39" t="s">
        <v>44</v>
      </c>
      <c r="BD39" s="19">
        <v>679</v>
      </c>
      <c r="BE39" s="43"/>
      <c r="BF39" s="3">
        <v>20293.099999999999</v>
      </c>
      <c r="BG39" s="2">
        <v>210.8</v>
      </c>
      <c r="BH39" s="2">
        <v>18753.5</v>
      </c>
      <c r="BI39" s="12">
        <f t="shared" si="3"/>
        <v>49.43797157863866</v>
      </c>
      <c r="BJ39" s="25" t="s">
        <v>56</v>
      </c>
      <c r="BM39" s="19">
        <v>692</v>
      </c>
      <c r="BN39" s="43"/>
      <c r="BO39" s="3">
        <v>10485.9</v>
      </c>
      <c r="BP39" s="2">
        <v>10439.799999999999</v>
      </c>
      <c r="BQ39" s="2">
        <v>17717</v>
      </c>
      <c r="BR39" s="12">
        <f t="shared" si="7"/>
        <v>20.537337020940342</v>
      </c>
      <c r="BS39" s="25" t="s">
        <v>62</v>
      </c>
      <c r="BV39" s="19">
        <v>705</v>
      </c>
      <c r="BW39" s="43"/>
      <c r="BX39" s="3">
        <v>23495.5</v>
      </c>
      <c r="BY39" s="2">
        <v>34.4</v>
      </c>
      <c r="BZ39" s="2">
        <v>20810.900000000001</v>
      </c>
      <c r="CA39" s="12">
        <f t="shared" si="20"/>
        <v>49.917351003560626</v>
      </c>
      <c r="CB39" s="25" t="s">
        <v>71</v>
      </c>
      <c r="CE39" s="19">
        <v>718</v>
      </c>
      <c r="CF39" s="43"/>
      <c r="CG39" s="3">
        <v>20642.2</v>
      </c>
      <c r="CH39" s="2">
        <v>85.6</v>
      </c>
      <c r="CI39" s="2">
        <v>16711.8</v>
      </c>
      <c r="CJ39" s="12">
        <f t="shared" si="21"/>
        <v>49.743893536303695</v>
      </c>
      <c r="CK39" s="25" t="s">
        <v>80</v>
      </c>
      <c r="CN39" s="20">
        <v>731</v>
      </c>
      <c r="CO39" s="38"/>
      <c r="CP39" s="3">
        <v>11311.8</v>
      </c>
      <c r="CQ39" s="2">
        <v>0</v>
      </c>
      <c r="CR39" s="2">
        <v>16895.2</v>
      </c>
      <c r="CS39" s="7">
        <f t="shared" si="22"/>
        <v>50</v>
      </c>
      <c r="CT39" s="31" t="s">
        <v>90</v>
      </c>
      <c r="CW39" s="19">
        <v>745</v>
      </c>
      <c r="CX39" s="38"/>
      <c r="CY39" s="3">
        <v>22574.2</v>
      </c>
      <c r="CZ39" s="2">
        <v>533.5</v>
      </c>
      <c r="DA39" s="2">
        <v>19410.900000000001</v>
      </c>
      <c r="DB39" s="12">
        <f t="shared" si="23"/>
        <v>48.625772117727664</v>
      </c>
      <c r="DC39" s="30" t="s">
        <v>14</v>
      </c>
      <c r="DF39" s="19">
        <v>755</v>
      </c>
      <c r="DG39" s="38"/>
      <c r="DH39" s="13">
        <v>21501</v>
      </c>
      <c r="DI39" s="11">
        <v>1040.3</v>
      </c>
      <c r="DJ39" s="11">
        <v>15726.5</v>
      </c>
      <c r="DK39" s="12">
        <f t="shared" si="24"/>
        <v>46.692525355292027</v>
      </c>
      <c r="DL39" s="30" t="s">
        <v>80</v>
      </c>
      <c r="DS39" s="50"/>
    </row>
    <row r="40" spans="2:123" x14ac:dyDescent="0.3">
      <c r="B40" s="17">
        <v>610</v>
      </c>
      <c r="C40" s="43"/>
      <c r="D40" s="3"/>
      <c r="E40" s="2"/>
      <c r="F40" s="2"/>
      <c r="G40" s="7">
        <v>39.712600000000002</v>
      </c>
      <c r="H40" t="s">
        <v>11</v>
      </c>
      <c r="K40" s="17">
        <v>610</v>
      </c>
      <c r="L40" s="43"/>
      <c r="M40" s="3">
        <v>15863</v>
      </c>
      <c r="N40" s="2">
        <v>4340.8999999999996</v>
      </c>
      <c r="O40" s="2">
        <v>16329.1</v>
      </c>
      <c r="P40" s="7">
        <f t="shared" si="1"/>
        <v>36.708085565034203</v>
      </c>
      <c r="Q40" t="s">
        <v>11</v>
      </c>
      <c r="T40" s="20">
        <v>641</v>
      </c>
      <c r="U40" s="43"/>
      <c r="V40" s="3">
        <v>22345.1</v>
      </c>
      <c r="W40" s="2">
        <v>24.7</v>
      </c>
      <c r="X40" s="2">
        <v>16646.8</v>
      </c>
      <c r="Y40" s="7">
        <f t="shared" si="2"/>
        <v>49.925811567388322</v>
      </c>
      <c r="Z40" t="s">
        <v>22</v>
      </c>
      <c r="AC40" s="20">
        <v>641</v>
      </c>
      <c r="AD40" s="43"/>
      <c r="AE40" s="3">
        <v>21013.599999999999</v>
      </c>
      <c r="AF40" s="2">
        <v>106.9</v>
      </c>
      <c r="AG40" s="2">
        <v>14902.2</v>
      </c>
      <c r="AH40" s="7">
        <f t="shared" si="4"/>
        <v>49.641328126048506</v>
      </c>
      <c r="AI40" t="s">
        <v>22</v>
      </c>
      <c r="AL40" s="20">
        <v>654</v>
      </c>
      <c r="AM40" s="43"/>
      <c r="AN40" s="3">
        <v>138.1</v>
      </c>
      <c r="AO40" s="2">
        <v>16214.2</v>
      </c>
      <c r="AP40" s="2">
        <v>16432.7</v>
      </c>
      <c r="AQ40" s="7">
        <f t="shared" si="25"/>
        <v>0.66483292459547116</v>
      </c>
      <c r="AR40" t="s">
        <v>36</v>
      </c>
      <c r="AU40" s="20">
        <v>667</v>
      </c>
      <c r="AV40" s="43"/>
      <c r="AW40" s="3">
        <v>22565.7</v>
      </c>
      <c r="AX40" s="2">
        <v>246.3</v>
      </c>
      <c r="AY40" s="2">
        <v>17558.7</v>
      </c>
      <c r="AZ40" s="7">
        <f t="shared" si="26"/>
        <v>49.298638281877359</v>
      </c>
      <c r="BA40" t="s">
        <v>46</v>
      </c>
      <c r="BD40" s="20">
        <v>680</v>
      </c>
      <c r="BE40" s="43"/>
      <c r="BF40" s="3">
        <v>19517.900000000001</v>
      </c>
      <c r="BG40" s="2">
        <v>112.9</v>
      </c>
      <c r="BH40" s="2">
        <v>17558.400000000001</v>
      </c>
      <c r="BI40" s="12">
        <f t="shared" si="3"/>
        <v>49.678501457991615</v>
      </c>
      <c r="BJ40" t="s">
        <v>57</v>
      </c>
      <c r="BM40" s="20">
        <v>693</v>
      </c>
      <c r="BN40" s="43"/>
      <c r="BO40" s="3">
        <v>3384.1</v>
      </c>
      <c r="BP40" s="2">
        <v>15901.3</v>
      </c>
      <c r="BQ40" s="2">
        <v>18157</v>
      </c>
      <c r="BR40" s="12">
        <f t="shared" si="7"/>
        <v>6.2116539075838544</v>
      </c>
      <c r="BS40" t="s">
        <v>63</v>
      </c>
      <c r="BV40" s="20">
        <v>706</v>
      </c>
      <c r="BW40" s="43"/>
      <c r="BX40" s="3">
        <v>23973.5</v>
      </c>
      <c r="BY40" s="2">
        <v>33.5</v>
      </c>
      <c r="BZ40" s="2">
        <v>21113.1</v>
      </c>
      <c r="CA40" s="12">
        <f t="shared" si="20"/>
        <v>49.920665368894198</v>
      </c>
      <c r="CB40" t="s">
        <v>72</v>
      </c>
      <c r="CE40" s="20">
        <v>719</v>
      </c>
      <c r="CF40" s="43"/>
      <c r="CG40" s="3">
        <v>21388.2</v>
      </c>
      <c r="CH40" s="2">
        <v>1141.8</v>
      </c>
      <c r="CI40" s="2">
        <v>17941.5</v>
      </c>
      <c r="CJ40" s="12">
        <f t="shared" si="21"/>
        <v>46.81799180670513</v>
      </c>
      <c r="CK40" t="s">
        <v>81</v>
      </c>
      <c r="CN40" s="20">
        <v>732</v>
      </c>
      <c r="CO40" s="38"/>
      <c r="CP40" s="3">
        <v>6647.6</v>
      </c>
      <c r="CQ40" s="2">
        <v>0</v>
      </c>
      <c r="CR40" s="2">
        <v>9987.4</v>
      </c>
      <c r="CS40" s="7">
        <f t="shared" si="22"/>
        <v>50</v>
      </c>
      <c r="CT40" s="30" t="s">
        <v>91</v>
      </c>
      <c r="CW40" s="20">
        <v>746</v>
      </c>
      <c r="CX40" s="38"/>
      <c r="CY40" s="3">
        <v>23400.400000000001</v>
      </c>
      <c r="CZ40" s="2">
        <v>1510.1</v>
      </c>
      <c r="DA40" s="2">
        <v>21786.9</v>
      </c>
      <c r="DB40" s="12">
        <f t="shared" si="23"/>
        <v>46.534385341650264</v>
      </c>
      <c r="DC40" s="30" t="s">
        <v>15</v>
      </c>
      <c r="DF40" s="20">
        <v>756</v>
      </c>
      <c r="DG40" s="38"/>
      <c r="DH40" s="13">
        <v>19609.2</v>
      </c>
      <c r="DI40" s="11">
        <v>2414.6999999999998</v>
      </c>
      <c r="DJ40" s="11">
        <v>19128</v>
      </c>
      <c r="DK40" s="12">
        <f t="shared" si="24"/>
        <v>43.688048933500625</v>
      </c>
      <c r="DL40" s="30" t="s">
        <v>81</v>
      </c>
      <c r="DS40" s="50"/>
    </row>
    <row r="41" spans="2:123" x14ac:dyDescent="0.3">
      <c r="B41" s="17">
        <v>611</v>
      </c>
      <c r="C41" s="43"/>
      <c r="D41" s="3"/>
      <c r="E41" s="2"/>
      <c r="F41" s="2"/>
      <c r="G41" s="7">
        <v>20.832540000000002</v>
      </c>
      <c r="H41" t="s">
        <v>12</v>
      </c>
      <c r="K41" s="17">
        <v>611</v>
      </c>
      <c r="L41" s="43"/>
      <c r="M41" s="2">
        <v>9233.6</v>
      </c>
      <c r="N41" s="2">
        <v>10734.8</v>
      </c>
      <c r="O41" s="2">
        <v>16916.2</v>
      </c>
      <c r="P41" s="7">
        <f>((O41-N41)/(2*O41))*100</f>
        <v>18.270651801231956</v>
      </c>
      <c r="Q41" t="s">
        <v>12</v>
      </c>
      <c r="T41" s="20">
        <v>642</v>
      </c>
      <c r="U41" s="43"/>
      <c r="V41" s="3">
        <v>20338.3</v>
      </c>
      <c r="W41" s="2">
        <v>153.1</v>
      </c>
      <c r="X41" s="2">
        <v>15607.6</v>
      </c>
      <c r="Y41" s="7">
        <f t="shared" si="2"/>
        <v>49.50953381685845</v>
      </c>
      <c r="Z41" t="s">
        <v>23</v>
      </c>
      <c r="AC41" s="20">
        <v>642</v>
      </c>
      <c r="AD41" s="43"/>
      <c r="AE41" s="3">
        <v>20731.3</v>
      </c>
      <c r="AF41" s="2">
        <v>21.6</v>
      </c>
      <c r="AG41" s="2">
        <v>15804.8</v>
      </c>
      <c r="AH41" s="7">
        <f t="shared" si="4"/>
        <v>49.931666329216441</v>
      </c>
      <c r="AI41" t="s">
        <v>23</v>
      </c>
      <c r="AL41" s="20">
        <v>655</v>
      </c>
      <c r="AM41" s="43"/>
      <c r="AN41" s="3">
        <v>147.80000000000001</v>
      </c>
      <c r="AO41" s="2">
        <v>16964.8</v>
      </c>
      <c r="AP41" s="2">
        <v>17195.900000000001</v>
      </c>
      <c r="AQ41" s="7">
        <f t="shared" si="25"/>
        <v>0.67196250268960089</v>
      </c>
      <c r="AR41" t="s">
        <v>37</v>
      </c>
      <c r="AU41" s="19">
        <v>668</v>
      </c>
      <c r="AV41" s="43"/>
      <c r="AW41" s="3">
        <v>20685.2</v>
      </c>
      <c r="AX41" s="2">
        <v>925.5</v>
      </c>
      <c r="AY41" s="2">
        <v>16082.9</v>
      </c>
      <c r="AZ41" s="7">
        <f t="shared" si="26"/>
        <v>47.122720404902104</v>
      </c>
      <c r="BA41" t="s">
        <v>45</v>
      </c>
      <c r="BD41" s="19">
        <v>681</v>
      </c>
      <c r="BE41" s="43"/>
      <c r="BF41" s="3">
        <v>20594.8</v>
      </c>
      <c r="BG41" s="2">
        <v>107.5</v>
      </c>
      <c r="BH41" s="2">
        <v>18373.099999999999</v>
      </c>
      <c r="BI41" s="12">
        <f t="shared" si="3"/>
        <v>49.707452743412922</v>
      </c>
      <c r="BJ41" t="s">
        <v>58</v>
      </c>
      <c r="BM41" s="19">
        <v>694</v>
      </c>
      <c r="BN41" s="43"/>
      <c r="BO41" s="3">
        <v>1188.5</v>
      </c>
      <c r="BP41" s="2">
        <v>16789.8</v>
      </c>
      <c r="BQ41" s="2">
        <v>17678.5</v>
      </c>
      <c r="BR41" s="12">
        <f t="shared" si="7"/>
        <v>2.5135051050711334</v>
      </c>
      <c r="BS41" t="s">
        <v>64</v>
      </c>
      <c r="BV41" s="19">
        <v>707</v>
      </c>
      <c r="BW41" s="43"/>
      <c r="BX41" s="3">
        <v>23941</v>
      </c>
      <c r="BY41" s="2">
        <v>60.7</v>
      </c>
      <c r="BZ41" s="2">
        <v>20780.599999999999</v>
      </c>
      <c r="CA41" s="12">
        <f t="shared" si="20"/>
        <v>49.853950319047577</v>
      </c>
      <c r="CB41" t="s">
        <v>73</v>
      </c>
      <c r="CE41" s="19">
        <v>720</v>
      </c>
      <c r="CF41" s="43"/>
      <c r="CG41" s="3">
        <v>19633.8</v>
      </c>
      <c r="CH41" s="2">
        <v>7261.8</v>
      </c>
      <c r="CI41" s="2">
        <v>21747.5</v>
      </c>
      <c r="CJ41" s="12">
        <f t="shared" si="21"/>
        <v>33.304287849178067</v>
      </c>
      <c r="CK41" t="s">
        <v>82</v>
      </c>
      <c r="CN41" s="20">
        <v>733</v>
      </c>
      <c r="CO41" s="38"/>
      <c r="CP41" s="3">
        <v>15255</v>
      </c>
      <c r="CQ41" s="2">
        <v>0</v>
      </c>
      <c r="CR41" s="2">
        <v>17220.599999999999</v>
      </c>
      <c r="CS41" s="7">
        <f t="shared" si="22"/>
        <v>50</v>
      </c>
      <c r="CT41" s="30" t="s">
        <v>92</v>
      </c>
      <c r="CW41" s="19">
        <v>747</v>
      </c>
      <c r="CX41" s="38"/>
      <c r="CY41" s="3">
        <v>24869</v>
      </c>
      <c r="CZ41" s="2">
        <v>2078.1</v>
      </c>
      <c r="DA41" s="2">
        <v>24664.7</v>
      </c>
      <c r="DB41" s="12">
        <f t="shared" si="23"/>
        <v>45.787299257643518</v>
      </c>
      <c r="DC41" s="30" t="s">
        <v>16</v>
      </c>
      <c r="DF41" s="19">
        <v>757</v>
      </c>
      <c r="DG41" s="38"/>
      <c r="DH41" s="13">
        <v>19147.5</v>
      </c>
      <c r="DI41" s="11">
        <v>4002.5</v>
      </c>
      <c r="DJ41" s="11">
        <v>13973</v>
      </c>
      <c r="DK41" s="12">
        <f t="shared" si="24"/>
        <v>35.677735633006513</v>
      </c>
      <c r="DL41" s="30" t="s">
        <v>82</v>
      </c>
      <c r="DS41" s="50"/>
    </row>
    <row r="42" spans="2:123" x14ac:dyDescent="0.3">
      <c r="B42" s="17">
        <v>612</v>
      </c>
      <c r="C42" s="43"/>
      <c r="D42" s="3"/>
      <c r="E42" s="2"/>
      <c r="F42" s="2"/>
      <c r="G42" s="7">
        <v>6.1995230000000001</v>
      </c>
      <c r="H42" t="s">
        <v>13</v>
      </c>
      <c r="K42" s="17">
        <v>612</v>
      </c>
      <c r="L42" s="43"/>
      <c r="M42" s="3">
        <v>3846.7</v>
      </c>
      <c r="N42" s="2">
        <v>14684.9</v>
      </c>
      <c r="O42" s="2">
        <v>17123.099999999999</v>
      </c>
      <c r="P42" s="7">
        <f t="shared" si="1"/>
        <v>7.1196220310574585</v>
      </c>
      <c r="Q42" t="s">
        <v>13</v>
      </c>
      <c r="T42" s="20">
        <v>643</v>
      </c>
      <c r="U42" s="43"/>
      <c r="V42" s="3">
        <v>10798.4</v>
      </c>
      <c r="W42" s="2">
        <v>428.6</v>
      </c>
      <c r="X42" s="2">
        <v>14685.1</v>
      </c>
      <c r="Y42" s="7">
        <f t="shared" si="2"/>
        <v>48.540697714009433</v>
      </c>
      <c r="Z42" t="s">
        <v>24</v>
      </c>
      <c r="AC42" s="20">
        <v>643</v>
      </c>
      <c r="AD42" s="43"/>
      <c r="AE42" s="3">
        <v>20314.599999999999</v>
      </c>
      <c r="AF42" s="2">
        <v>0</v>
      </c>
      <c r="AG42" s="2">
        <v>17131.3</v>
      </c>
      <c r="AH42" s="7">
        <f t="shared" si="4"/>
        <v>50</v>
      </c>
      <c r="AI42" t="s">
        <v>30</v>
      </c>
      <c r="AL42" s="20">
        <v>656</v>
      </c>
      <c r="AM42" s="43"/>
      <c r="AN42" s="3">
        <v>119.4</v>
      </c>
      <c r="AO42" s="2">
        <v>17667.400000000001</v>
      </c>
      <c r="AP42" s="2">
        <v>17925.8</v>
      </c>
      <c r="AQ42" s="7">
        <f t="shared" si="25"/>
        <v>0.72074886476474642</v>
      </c>
      <c r="AR42" t="s">
        <v>38</v>
      </c>
      <c r="AU42" s="20">
        <v>669</v>
      </c>
      <c r="AV42" s="43"/>
      <c r="AW42" s="3">
        <v>103.9</v>
      </c>
      <c r="AX42" s="2">
        <v>16018.2</v>
      </c>
      <c r="AY42" s="2">
        <v>16189.4</v>
      </c>
      <c r="AZ42" s="7">
        <f t="shared" si="26"/>
        <v>0.52874102808009837</v>
      </c>
      <c r="BA42" t="s">
        <v>47</v>
      </c>
      <c r="BD42" s="20">
        <v>682</v>
      </c>
      <c r="BE42" s="43"/>
      <c r="BF42" s="3">
        <v>20507.900000000001</v>
      </c>
      <c r="BG42" s="2">
        <v>116.4</v>
      </c>
      <c r="BH42" s="2">
        <v>17790.7</v>
      </c>
      <c r="BI42" s="12">
        <f t="shared" si="3"/>
        <v>49.672862787861071</v>
      </c>
      <c r="BJ42" t="s">
        <v>59</v>
      </c>
      <c r="BM42" s="20">
        <v>695</v>
      </c>
      <c r="BN42" s="43"/>
      <c r="BO42" s="3">
        <v>10823.2</v>
      </c>
      <c r="BP42" s="2">
        <v>10708.9</v>
      </c>
      <c r="BQ42" s="2">
        <v>18509.099999999999</v>
      </c>
      <c r="BR42" s="12">
        <f t="shared" si="7"/>
        <v>21.071256841229449</v>
      </c>
      <c r="BS42" s="25" t="s">
        <v>65</v>
      </c>
      <c r="BV42" s="20">
        <v>708</v>
      </c>
      <c r="BW42" s="43"/>
      <c r="BX42" s="3">
        <v>21483.4</v>
      </c>
      <c r="BY42" s="2">
        <v>25.4</v>
      </c>
      <c r="BZ42" s="2">
        <v>17972.3</v>
      </c>
      <c r="CA42" s="12">
        <f t="shared" si="20"/>
        <v>49.929335699938235</v>
      </c>
      <c r="CB42" s="25" t="s">
        <v>74</v>
      </c>
      <c r="CE42" s="20">
        <v>721</v>
      </c>
      <c r="CF42" s="43"/>
      <c r="CG42" s="3">
        <v>2352.9</v>
      </c>
      <c r="CH42" s="2">
        <v>8797.5</v>
      </c>
      <c r="CI42" s="2">
        <v>10341.6</v>
      </c>
      <c r="CJ42" s="12">
        <f t="shared" si="21"/>
        <v>7.4654792295196115</v>
      </c>
      <c r="CK42" s="25" t="s">
        <v>83</v>
      </c>
      <c r="CN42" s="20">
        <v>734</v>
      </c>
      <c r="CO42" s="38"/>
      <c r="CP42" s="3">
        <v>11833.1</v>
      </c>
      <c r="CQ42" s="2">
        <v>0</v>
      </c>
      <c r="CR42" s="2">
        <v>16134.9</v>
      </c>
      <c r="CS42" s="7">
        <f t="shared" si="22"/>
        <v>50</v>
      </c>
      <c r="CT42" s="31" t="s">
        <v>93</v>
      </c>
      <c r="CW42" s="20">
        <v>748</v>
      </c>
      <c r="CX42" s="38"/>
      <c r="CY42" s="3">
        <v>20715.2</v>
      </c>
      <c r="CZ42" s="2">
        <v>1525.7</v>
      </c>
      <c r="DA42" s="2">
        <v>17532.900000000001</v>
      </c>
      <c r="DB42" s="12">
        <f t="shared" si="23"/>
        <v>45.649036953384773</v>
      </c>
      <c r="DC42" s="30" t="s">
        <v>23</v>
      </c>
      <c r="DF42" s="20">
        <v>758</v>
      </c>
      <c r="DG42" s="38"/>
      <c r="DH42" s="13">
        <v>21535.599999999999</v>
      </c>
      <c r="DI42" s="11">
        <v>1352.6</v>
      </c>
      <c r="DJ42" s="11">
        <v>16553.400000000001</v>
      </c>
      <c r="DK42" s="12">
        <f t="shared" si="24"/>
        <v>45.914434496840528</v>
      </c>
      <c r="DL42" s="30" t="s">
        <v>44</v>
      </c>
      <c r="DS42" s="50"/>
    </row>
    <row r="43" spans="2:123" x14ac:dyDescent="0.3">
      <c r="B43" s="17">
        <v>613</v>
      </c>
      <c r="C43" s="43"/>
      <c r="D43" s="3"/>
      <c r="E43" s="2"/>
      <c r="F43" s="2"/>
      <c r="G43" s="7">
        <v>50</v>
      </c>
      <c r="H43" t="s">
        <v>14</v>
      </c>
      <c r="K43" s="17">
        <v>613</v>
      </c>
      <c r="L43" s="43"/>
      <c r="M43" s="3">
        <v>20750</v>
      </c>
      <c r="N43" s="2">
        <v>284.3</v>
      </c>
      <c r="O43" s="2">
        <v>16200.9</v>
      </c>
      <c r="P43" s="7">
        <f t="shared" si="1"/>
        <v>49.122579609774768</v>
      </c>
      <c r="Q43" t="s">
        <v>14</v>
      </c>
      <c r="T43" s="20">
        <v>644</v>
      </c>
      <c r="U43" s="43"/>
      <c r="V43" s="3">
        <v>18312</v>
      </c>
      <c r="W43" s="2">
        <v>1318.3</v>
      </c>
      <c r="X43" s="2">
        <v>16496.400000000001</v>
      </c>
      <c r="Y43" s="7">
        <f t="shared" si="2"/>
        <v>46.004279721636237</v>
      </c>
      <c r="Z43" t="s">
        <v>26</v>
      </c>
      <c r="AC43" s="20">
        <v>644</v>
      </c>
      <c r="AD43" s="43"/>
      <c r="AE43" s="3">
        <v>20037.5</v>
      </c>
      <c r="AF43" s="2">
        <v>96</v>
      </c>
      <c r="AG43" s="2">
        <v>16467.400000000001</v>
      </c>
      <c r="AH43" s="7">
        <f t="shared" si="4"/>
        <v>49.708515005404621</v>
      </c>
      <c r="AI43" t="s">
        <v>26</v>
      </c>
      <c r="AL43" s="20">
        <v>657</v>
      </c>
      <c r="AM43" s="43"/>
      <c r="AN43" s="3">
        <v>117</v>
      </c>
      <c r="AO43" s="2">
        <v>15993.9</v>
      </c>
      <c r="AP43" s="2">
        <v>16172.4</v>
      </c>
      <c r="AQ43" s="7">
        <f t="shared" si="25"/>
        <v>0.5518661423165393</v>
      </c>
      <c r="AR43" t="s">
        <v>39</v>
      </c>
      <c r="AU43" s="19">
        <v>670</v>
      </c>
      <c r="AV43" s="43"/>
      <c r="AW43" s="3">
        <v>125.8</v>
      </c>
      <c r="AX43" s="2">
        <v>15999.8</v>
      </c>
      <c r="AY43" s="2">
        <v>16187.4</v>
      </c>
      <c r="AZ43" s="7">
        <f>((AY43-AX43)/(2*AY43))*100</f>
        <v>0.57946303915391095</v>
      </c>
      <c r="BA43" t="s">
        <v>48</v>
      </c>
      <c r="BD43" s="19">
        <v>683</v>
      </c>
      <c r="BE43" s="43"/>
      <c r="BF43" s="3">
        <v>20333.3</v>
      </c>
      <c r="BG43" s="2">
        <v>74.2</v>
      </c>
      <c r="BH43" s="2">
        <v>18046.3</v>
      </c>
      <c r="BI43" s="12">
        <f t="shared" si="3"/>
        <v>49.794417692269327</v>
      </c>
      <c r="BJ43" t="s">
        <v>60</v>
      </c>
      <c r="BM43" s="19">
        <v>696</v>
      </c>
      <c r="BN43" s="43"/>
      <c r="BO43" s="3">
        <v>1751.8</v>
      </c>
      <c r="BP43" s="2">
        <v>16467.099999999999</v>
      </c>
      <c r="BQ43" s="2">
        <v>17714</v>
      </c>
      <c r="BR43" s="12">
        <f t="shared" si="7"/>
        <v>3.5195325731060221</v>
      </c>
      <c r="BS43" t="s">
        <v>66</v>
      </c>
      <c r="BV43" s="19">
        <v>709</v>
      </c>
      <c r="BW43" s="43"/>
      <c r="BX43" s="3">
        <v>23956</v>
      </c>
      <c r="BY43" s="2">
        <v>34.200000000000003</v>
      </c>
      <c r="BZ43" s="2">
        <v>21695.9</v>
      </c>
      <c r="CA43" s="12">
        <f t="shared" si="20"/>
        <v>49.92118326504086</v>
      </c>
      <c r="CB43" s="25" t="s">
        <v>75</v>
      </c>
      <c r="CE43" s="19">
        <v>722</v>
      </c>
      <c r="CF43" s="43"/>
      <c r="CG43" s="3">
        <v>353.2</v>
      </c>
      <c r="CH43" s="2">
        <v>12504.7</v>
      </c>
      <c r="CI43" s="2">
        <v>12898.5</v>
      </c>
      <c r="CJ43" s="12">
        <f t="shared" si="21"/>
        <v>1.5265340931115994</v>
      </c>
      <c r="CK43" t="s">
        <v>84</v>
      </c>
      <c r="CN43" s="20">
        <v>735</v>
      </c>
      <c r="CO43" s="38"/>
      <c r="CP43" s="3">
        <v>20100</v>
      </c>
      <c r="CQ43" s="2">
        <v>0</v>
      </c>
      <c r="CR43" s="2">
        <v>17137.900000000001</v>
      </c>
      <c r="CS43" s="7">
        <f t="shared" si="22"/>
        <v>50</v>
      </c>
      <c r="CT43" s="30" t="s">
        <v>94</v>
      </c>
      <c r="CW43" s="19">
        <v>749</v>
      </c>
      <c r="CX43" s="38"/>
      <c r="CY43" s="3">
        <v>21998.9</v>
      </c>
      <c r="CZ43" s="2">
        <v>163.4</v>
      </c>
      <c r="DA43" s="2">
        <v>17280.7</v>
      </c>
      <c r="DB43" s="12">
        <f t="shared" si="23"/>
        <v>49.527218226113526</v>
      </c>
      <c r="DC43" s="30" t="s">
        <v>21</v>
      </c>
      <c r="DF43" s="19">
        <v>759</v>
      </c>
      <c r="DG43" s="38"/>
      <c r="DH43" s="13">
        <v>20140.599999999999</v>
      </c>
      <c r="DI43" s="11">
        <v>3027.4</v>
      </c>
      <c r="DJ43" s="11">
        <v>17643.5</v>
      </c>
      <c r="DK43" s="12">
        <f t="shared" si="24"/>
        <v>41.4206364950265</v>
      </c>
      <c r="DL43" s="30" t="s">
        <v>46</v>
      </c>
      <c r="DS43" s="50"/>
    </row>
    <row r="44" spans="2:123" ht="15" thickBot="1" x14ac:dyDescent="0.35">
      <c r="B44" s="17">
        <v>614</v>
      </c>
      <c r="C44" s="43"/>
      <c r="D44" s="3"/>
      <c r="E44" s="2"/>
      <c r="F44" s="2"/>
      <c r="G44" s="7">
        <v>50</v>
      </c>
      <c r="H44" t="s">
        <v>15</v>
      </c>
      <c r="K44" s="17">
        <v>614</v>
      </c>
      <c r="L44" s="43"/>
      <c r="M44" s="3">
        <v>21079.1</v>
      </c>
      <c r="N44" s="2">
        <v>33.6</v>
      </c>
      <c r="O44" s="2">
        <v>14942.9</v>
      </c>
      <c r="P44" s="7">
        <f t="shared" si="1"/>
        <v>49.887572024172009</v>
      </c>
      <c r="Q44" t="s">
        <v>15</v>
      </c>
      <c r="T44" s="20">
        <v>645</v>
      </c>
      <c r="U44" s="43"/>
      <c r="V44" s="3">
        <v>17942.099999999999</v>
      </c>
      <c r="W44" s="2">
        <v>1250.0999999999999</v>
      </c>
      <c r="X44" s="2">
        <v>16520</v>
      </c>
      <c r="Y44" s="7">
        <f t="shared" si="2"/>
        <v>46.216404358353508</v>
      </c>
      <c r="Z44" t="s">
        <v>25</v>
      </c>
      <c r="AC44" s="20">
        <v>645</v>
      </c>
      <c r="AD44" s="43"/>
      <c r="AE44" s="3">
        <v>18724.8</v>
      </c>
      <c r="AF44" s="2">
        <v>29.4</v>
      </c>
      <c r="AG44" s="2">
        <v>16601.2</v>
      </c>
      <c r="AH44" s="7">
        <f t="shared" si="4"/>
        <v>49.911452184179453</v>
      </c>
      <c r="AI44" t="s">
        <v>25</v>
      </c>
      <c r="AL44" s="20">
        <v>658</v>
      </c>
      <c r="AM44" s="43"/>
      <c r="AN44" s="2">
        <v>144.30000000000001</v>
      </c>
      <c r="AO44" s="2">
        <v>16869.2</v>
      </c>
      <c r="AP44" s="2">
        <v>17098.900000000001</v>
      </c>
      <c r="AQ44" s="7">
        <f t="shared" si="25"/>
        <v>0.67168063442677806</v>
      </c>
      <c r="AR44" t="s">
        <v>40</v>
      </c>
      <c r="AU44" s="20">
        <v>671</v>
      </c>
      <c r="AV44" s="43"/>
      <c r="AW44" s="2"/>
      <c r="AX44" s="2"/>
      <c r="AY44" s="2"/>
      <c r="AZ44" s="7" t="e">
        <f t="shared" si="26"/>
        <v>#DIV/0!</v>
      </c>
      <c r="BA44" t="s">
        <v>49</v>
      </c>
      <c r="BD44" s="20">
        <v>684</v>
      </c>
      <c r="BE44" s="43"/>
      <c r="BF44" s="2">
        <v>21129.8</v>
      </c>
      <c r="BG44" s="2">
        <v>58.9</v>
      </c>
      <c r="BH44" s="2">
        <v>17354.8</v>
      </c>
      <c r="BI44" s="12">
        <f t="shared" si="3"/>
        <v>49.830306312950881</v>
      </c>
      <c r="BJ44" t="s">
        <v>61</v>
      </c>
      <c r="BM44" s="20">
        <v>697</v>
      </c>
      <c r="BN44" s="43"/>
      <c r="BO44" s="2">
        <v>279</v>
      </c>
      <c r="BP44" s="2">
        <v>16205.3</v>
      </c>
      <c r="BQ44" s="2">
        <v>16496.900000000001</v>
      </c>
      <c r="BR44" s="12">
        <f t="shared" si="7"/>
        <v>0.88380241136214122</v>
      </c>
      <c r="BS44" t="s">
        <v>67</v>
      </c>
      <c r="BV44" s="20">
        <v>710</v>
      </c>
      <c r="BW44" s="43"/>
      <c r="BX44" s="2">
        <v>24427</v>
      </c>
      <c r="BY44" s="2">
        <v>56.1</v>
      </c>
      <c r="BZ44" s="2">
        <v>21482.2</v>
      </c>
      <c r="CA44" s="12">
        <f t="shared" si="20"/>
        <v>49.869426781242147</v>
      </c>
      <c r="CB44" s="25" t="s">
        <v>76</v>
      </c>
      <c r="CE44" s="20">
        <v>723</v>
      </c>
      <c r="CF44" s="43"/>
      <c r="CG44" s="2">
        <v>107.5</v>
      </c>
      <c r="CH44" s="2">
        <v>9273.2999999999993</v>
      </c>
      <c r="CI44" s="2">
        <v>9387.7999999999993</v>
      </c>
      <c r="CJ44" s="12">
        <f t="shared" si="21"/>
        <v>0.60983403992415697</v>
      </c>
      <c r="CK44" t="s">
        <v>85</v>
      </c>
      <c r="CN44" s="20">
        <v>736</v>
      </c>
      <c r="CO44" s="38"/>
      <c r="CP44" s="2">
        <v>20494.7</v>
      </c>
      <c r="CQ44" s="2">
        <v>0</v>
      </c>
      <c r="CR44" s="2">
        <v>16635.8</v>
      </c>
      <c r="CS44" s="7">
        <f t="shared" si="22"/>
        <v>50</v>
      </c>
      <c r="CT44" s="30" t="s">
        <v>95</v>
      </c>
      <c r="CW44" s="21">
        <v>750</v>
      </c>
      <c r="CX44" s="39"/>
      <c r="CY44" s="9">
        <v>20835.599999999999</v>
      </c>
      <c r="CZ44" s="9">
        <v>274.39999999999998</v>
      </c>
      <c r="DA44" s="9">
        <v>15843.7</v>
      </c>
      <c r="DB44" s="26">
        <f t="shared" si="23"/>
        <v>49.134040659694392</v>
      </c>
      <c r="DC44" s="30" t="s">
        <v>22</v>
      </c>
      <c r="DF44" s="52">
        <v>760</v>
      </c>
      <c r="DG44" s="38"/>
      <c r="DH44" s="36">
        <v>18160.3</v>
      </c>
      <c r="DI44" s="53">
        <v>5296.2</v>
      </c>
      <c r="DJ44" s="53">
        <v>17749.2</v>
      </c>
      <c r="DK44" s="56">
        <f t="shared" si="24"/>
        <v>35.080454330336011</v>
      </c>
      <c r="DL44" s="30" t="s">
        <v>45</v>
      </c>
      <c r="DS44" s="50"/>
    </row>
    <row r="45" spans="2:123" x14ac:dyDescent="0.3">
      <c r="B45" s="17">
        <v>615</v>
      </c>
      <c r="C45" s="43"/>
      <c r="D45" s="3"/>
      <c r="E45" s="2"/>
      <c r="F45" s="2"/>
      <c r="G45" s="7">
        <v>50</v>
      </c>
      <c r="H45" t="s">
        <v>16</v>
      </c>
      <c r="K45" s="17">
        <v>615</v>
      </c>
      <c r="L45" s="43"/>
      <c r="M45" s="3">
        <v>22115.7</v>
      </c>
      <c r="N45" s="2">
        <v>23.2</v>
      </c>
      <c r="O45" s="2">
        <v>14682.5</v>
      </c>
      <c r="P45" s="7">
        <f t="shared" si="1"/>
        <v>49.920994381065888</v>
      </c>
      <c r="Q45" t="s">
        <v>16</v>
      </c>
      <c r="T45" s="20">
        <v>646</v>
      </c>
      <c r="U45" s="43"/>
      <c r="V45" s="3">
        <v>9694.7999999999993</v>
      </c>
      <c r="W45" s="2">
        <v>9791.7999999999993</v>
      </c>
      <c r="X45" s="2">
        <v>16824.2</v>
      </c>
      <c r="Y45" s="7">
        <f t="shared" si="2"/>
        <v>20.899656447260497</v>
      </c>
      <c r="Z45" t="s">
        <v>27</v>
      </c>
      <c r="AC45" s="20">
        <v>646</v>
      </c>
      <c r="AD45" s="43"/>
      <c r="AE45" s="3">
        <v>5056.8999999999996</v>
      </c>
      <c r="AF45" s="2">
        <v>12931.6</v>
      </c>
      <c r="AG45" s="2">
        <v>16679.900000000001</v>
      </c>
      <c r="AH45" s="7">
        <f t="shared" si="4"/>
        <v>11.235978632965429</v>
      </c>
      <c r="AI45" t="s">
        <v>27</v>
      </c>
      <c r="AL45" s="20">
        <v>659</v>
      </c>
      <c r="AM45" s="43"/>
      <c r="AN45" s="2">
        <v>102.9</v>
      </c>
      <c r="AO45" s="2">
        <v>15917.7</v>
      </c>
      <c r="AP45" s="2">
        <v>16117.2</v>
      </c>
      <c r="AQ45" s="7">
        <f t="shared" si="25"/>
        <v>0.61890402799493704</v>
      </c>
      <c r="AR45" t="s">
        <v>41</v>
      </c>
      <c r="AU45" s="19">
        <v>672</v>
      </c>
      <c r="AV45" s="43"/>
      <c r="AW45" s="2">
        <v>8326.2999999999993</v>
      </c>
      <c r="AX45" s="2">
        <v>11315.7</v>
      </c>
      <c r="AY45" s="2">
        <v>16915.5</v>
      </c>
      <c r="AZ45" s="7">
        <f t="shared" si="26"/>
        <v>16.552274541101355</v>
      </c>
      <c r="BA45" t="s">
        <v>50</v>
      </c>
      <c r="BD45" s="19">
        <v>685</v>
      </c>
      <c r="BE45" s="43"/>
      <c r="BF45" s="2">
        <v>5148</v>
      </c>
      <c r="BG45" s="2">
        <v>14694.7</v>
      </c>
      <c r="BH45" s="2">
        <v>18023.900000000001</v>
      </c>
      <c r="BI45" s="12">
        <f t="shared" si="3"/>
        <v>9.2355150661066716</v>
      </c>
      <c r="BJ45" t="s">
        <v>53</v>
      </c>
      <c r="BM45" s="19">
        <v>698</v>
      </c>
      <c r="BN45" s="43"/>
      <c r="BO45" s="2">
        <v>317.10000000000002</v>
      </c>
      <c r="BP45" s="2">
        <v>17925.900000000001</v>
      </c>
      <c r="BQ45" s="2">
        <v>18359.8</v>
      </c>
      <c r="BR45" s="12">
        <f t="shared" si="7"/>
        <v>1.1816577522630907</v>
      </c>
      <c r="BS45" s="25" t="s">
        <v>68</v>
      </c>
      <c r="BV45" s="19">
        <v>711</v>
      </c>
      <c r="BW45" s="43"/>
      <c r="BX45" s="2">
        <v>20758.2</v>
      </c>
      <c r="BY45" s="2">
        <v>6193.2</v>
      </c>
      <c r="BZ45" s="2">
        <v>23095.1</v>
      </c>
      <c r="CA45" s="12">
        <f t="shared" si="20"/>
        <v>36.591961065334203</v>
      </c>
      <c r="CB45" s="25" t="s">
        <v>77</v>
      </c>
      <c r="CE45" s="19">
        <v>724</v>
      </c>
      <c r="CF45" s="43"/>
      <c r="CG45" s="2"/>
      <c r="CH45" s="2"/>
      <c r="CI45" s="2"/>
      <c r="CJ45" s="12" t="e">
        <f t="shared" si="21"/>
        <v>#DIV/0!</v>
      </c>
      <c r="CK45" s="25" t="s">
        <v>86</v>
      </c>
      <c r="CN45" s="20">
        <v>737</v>
      </c>
      <c r="CO45" s="38"/>
      <c r="CP45" s="2">
        <v>18585.7</v>
      </c>
      <c r="CQ45" s="2">
        <v>0</v>
      </c>
      <c r="CR45" s="2">
        <v>17527.599999999999</v>
      </c>
      <c r="CS45" s="7">
        <f t="shared" si="22"/>
        <v>50</v>
      </c>
      <c r="CT45" s="31" t="s">
        <v>98</v>
      </c>
      <c r="CX45" s="32"/>
      <c r="DF45" s="48"/>
      <c r="DG45" s="55"/>
      <c r="DH45" s="49"/>
      <c r="DI45" s="48"/>
      <c r="DJ45" s="48"/>
      <c r="DK45" s="48"/>
      <c r="DS45" s="50"/>
    </row>
    <row r="46" spans="2:123" x14ac:dyDescent="0.3">
      <c r="B46" s="17">
        <v>616</v>
      </c>
      <c r="C46" s="43"/>
      <c r="D46" s="3"/>
      <c r="E46" s="2"/>
      <c r="F46" s="2"/>
      <c r="G46" s="7">
        <v>10.183400000000001</v>
      </c>
      <c r="H46" t="s">
        <v>17</v>
      </c>
      <c r="K46" s="17">
        <v>616</v>
      </c>
      <c r="L46" s="43"/>
      <c r="M46" s="3">
        <v>6316.6</v>
      </c>
      <c r="N46" s="2">
        <v>12766.3</v>
      </c>
      <c r="O46" s="2">
        <v>17044.8</v>
      </c>
      <c r="P46" s="7">
        <f t="shared" si="1"/>
        <v>12.550748615413498</v>
      </c>
      <c r="Q46" t="s">
        <v>17</v>
      </c>
      <c r="T46" s="20">
        <v>647</v>
      </c>
      <c r="U46" s="43"/>
      <c r="V46" s="3">
        <v>6638.9</v>
      </c>
      <c r="W46" s="2">
        <v>12578.7</v>
      </c>
      <c r="X46" s="2">
        <v>17114.5</v>
      </c>
      <c r="Y46" s="7">
        <f t="shared" si="2"/>
        <v>13.251336585935899</v>
      </c>
      <c r="Z46" t="s">
        <v>28</v>
      </c>
      <c r="AC46" s="20">
        <v>647</v>
      </c>
      <c r="AD46" s="43"/>
      <c r="AE46" s="3">
        <v>3139.5</v>
      </c>
      <c r="AF46" s="2">
        <v>14513</v>
      </c>
      <c r="AG46" s="2">
        <v>16758.099999999999</v>
      </c>
      <c r="AH46" s="7">
        <f t="shared" si="4"/>
        <v>6.6985517451262337</v>
      </c>
      <c r="AI46" t="s">
        <v>28</v>
      </c>
      <c r="AL46" s="20">
        <v>660</v>
      </c>
      <c r="AM46" s="43"/>
      <c r="AN46" s="2">
        <v>121.4</v>
      </c>
      <c r="AO46" s="2">
        <v>15056.5</v>
      </c>
      <c r="AP46" s="2">
        <v>15243.3</v>
      </c>
      <c r="AQ46" s="7">
        <f t="shared" si="25"/>
        <v>0.61272821501905517</v>
      </c>
      <c r="AR46" t="s">
        <v>43</v>
      </c>
      <c r="AU46" s="20">
        <v>673</v>
      </c>
      <c r="AV46" s="43"/>
      <c r="AW46" s="2">
        <v>1251.3</v>
      </c>
      <c r="AX46" s="2">
        <v>16662.5</v>
      </c>
      <c r="AY46" s="2">
        <v>17506.2</v>
      </c>
      <c r="AZ46" s="7">
        <f t="shared" si="26"/>
        <v>2.4097177000148537</v>
      </c>
      <c r="BA46" t="s">
        <v>51</v>
      </c>
      <c r="BD46" s="20">
        <v>686</v>
      </c>
      <c r="BE46" s="43"/>
      <c r="BF46" s="2">
        <v>1103.9000000000001</v>
      </c>
      <c r="BG46" s="2">
        <v>17490</v>
      </c>
      <c r="BH46" s="2">
        <v>18174.7</v>
      </c>
      <c r="BI46" s="12">
        <f t="shared" si="3"/>
        <v>1.8836624538506843</v>
      </c>
      <c r="BJ46" t="s">
        <v>54</v>
      </c>
      <c r="BM46" s="20">
        <v>699</v>
      </c>
      <c r="BN46" s="43"/>
      <c r="BO46" s="2">
        <v>111.5</v>
      </c>
      <c r="BP46" s="2">
        <v>17204.3</v>
      </c>
      <c r="BQ46" s="2">
        <v>17419.3</v>
      </c>
      <c r="BR46" s="12">
        <f t="shared" si="7"/>
        <v>0.61713157245124661</v>
      </c>
      <c r="BS46" t="s">
        <v>69</v>
      </c>
      <c r="BV46" s="20">
        <v>712</v>
      </c>
      <c r="BW46" s="43"/>
      <c r="BX46" s="2">
        <v>6421.4</v>
      </c>
      <c r="BY46" s="2">
        <v>18250.5</v>
      </c>
      <c r="BZ46" s="2">
        <v>22677.9</v>
      </c>
      <c r="CA46" s="12">
        <f t="shared" si="20"/>
        <v>9.7614858518645935</v>
      </c>
      <c r="CB46" t="s">
        <v>78</v>
      </c>
      <c r="CE46" s="20">
        <v>725</v>
      </c>
      <c r="CF46" s="43"/>
      <c r="CG46" s="2"/>
      <c r="CH46" s="2"/>
      <c r="CI46" s="2"/>
      <c r="CJ46" s="12" t="e">
        <f t="shared" si="21"/>
        <v>#DIV/0!</v>
      </c>
      <c r="CK46" t="s">
        <v>87</v>
      </c>
      <c r="CN46" s="20">
        <v>738</v>
      </c>
      <c r="CO46" s="38"/>
      <c r="CP46" s="2">
        <v>19374.3</v>
      </c>
      <c r="CQ46" s="2">
        <v>0</v>
      </c>
      <c r="CR46" s="2">
        <v>17094.900000000001</v>
      </c>
      <c r="CS46" s="7">
        <f t="shared" si="22"/>
        <v>50</v>
      </c>
      <c r="CT46" s="30" t="s">
        <v>97</v>
      </c>
      <c r="CX46" s="32"/>
      <c r="DF46" s="48"/>
      <c r="DG46" s="55"/>
      <c r="DH46" s="49"/>
      <c r="DI46" s="48"/>
      <c r="DJ46" s="48"/>
      <c r="DK46" s="48"/>
      <c r="DS46" s="50"/>
    </row>
    <row r="47" spans="2:123" ht="15" thickBot="1" x14ac:dyDescent="0.35">
      <c r="B47" s="17">
        <v>617</v>
      </c>
      <c r="C47" s="43"/>
      <c r="D47" s="3"/>
      <c r="E47" s="2"/>
      <c r="F47" s="2"/>
      <c r="G47" s="7">
        <v>1.4479</v>
      </c>
      <c r="H47" t="s">
        <v>18</v>
      </c>
      <c r="K47" s="17">
        <v>617</v>
      </c>
      <c r="L47" s="43"/>
      <c r="M47" s="3">
        <v>1810.7</v>
      </c>
      <c r="N47" s="2">
        <v>16028.6</v>
      </c>
      <c r="O47" s="2">
        <v>17285.8</v>
      </c>
      <c r="P47" s="7">
        <f t="shared" si="1"/>
        <v>3.6365108933344104</v>
      </c>
      <c r="Q47" t="s">
        <v>18</v>
      </c>
      <c r="T47" s="21">
        <v>648</v>
      </c>
      <c r="U47" s="44"/>
      <c r="V47" s="8">
        <v>12158</v>
      </c>
      <c r="W47" s="9">
        <v>8364.4</v>
      </c>
      <c r="X47" s="9">
        <v>17391.900000000001</v>
      </c>
      <c r="Y47" s="10">
        <f t="shared" si="2"/>
        <v>25.953173603804075</v>
      </c>
      <c r="Z47" t="s">
        <v>29</v>
      </c>
      <c r="AC47" s="21">
        <v>648</v>
      </c>
      <c r="AD47" s="44"/>
      <c r="AE47" s="8">
        <v>11436</v>
      </c>
      <c r="AF47" s="9">
        <v>8138.5</v>
      </c>
      <c r="AG47" s="9">
        <v>16709</v>
      </c>
      <c r="AH47" s="10">
        <f t="shared" si="4"/>
        <v>25.646358250044887</v>
      </c>
      <c r="AI47" t="s">
        <v>29</v>
      </c>
      <c r="AL47" s="21">
        <v>661</v>
      </c>
      <c r="AM47" s="44"/>
      <c r="AN47" s="9">
        <v>108</v>
      </c>
      <c r="AO47" s="9">
        <v>11123.4</v>
      </c>
      <c r="AP47" s="9">
        <v>11197.8</v>
      </c>
      <c r="AQ47" s="10">
        <f t="shared" si="25"/>
        <v>0.33220811230777314</v>
      </c>
      <c r="AR47" t="s">
        <v>42</v>
      </c>
      <c r="AU47" s="24">
        <v>674</v>
      </c>
      <c r="AV47" s="44"/>
      <c r="AW47" s="9">
        <v>289.8</v>
      </c>
      <c r="AX47" s="9">
        <v>17326.099999999999</v>
      </c>
      <c r="AY47" s="9">
        <v>17642.400000000001</v>
      </c>
      <c r="AZ47" s="10">
        <f t="shared" si="26"/>
        <v>0.89641998821022895</v>
      </c>
      <c r="BA47" t="s">
        <v>52</v>
      </c>
      <c r="BD47" s="24">
        <v>687</v>
      </c>
      <c r="BE47" s="44"/>
      <c r="BF47" s="9">
        <v>753.8</v>
      </c>
      <c r="BG47" s="9">
        <v>17400.900000000001</v>
      </c>
      <c r="BH47" s="9">
        <v>17712.099999999999</v>
      </c>
      <c r="BI47" s="26">
        <f t="shared" si="3"/>
        <v>0.87849549178244568</v>
      </c>
      <c r="BJ47" t="s">
        <v>55</v>
      </c>
      <c r="BM47" s="24">
        <v>700</v>
      </c>
      <c r="BN47" s="44"/>
      <c r="BO47" s="9">
        <v>147.69999999999999</v>
      </c>
      <c r="BP47" s="9">
        <v>17462.8</v>
      </c>
      <c r="BQ47" s="9">
        <v>17753.5</v>
      </c>
      <c r="BR47" s="26">
        <f t="shared" si="7"/>
        <v>0.81871180330639237</v>
      </c>
      <c r="BS47" t="s">
        <v>70</v>
      </c>
      <c r="BV47" s="24">
        <v>713</v>
      </c>
      <c r="BW47" s="44"/>
      <c r="BX47" s="9">
        <v>1172.0999999999999</v>
      </c>
      <c r="BY47" s="9">
        <v>23194.3</v>
      </c>
      <c r="BZ47" s="9">
        <v>24442.5</v>
      </c>
      <c r="CA47" s="26">
        <f t="shared" si="20"/>
        <v>2.5533394701851302</v>
      </c>
      <c r="CB47" t="s">
        <v>79</v>
      </c>
      <c r="CE47" s="24">
        <v>726</v>
      </c>
      <c r="CF47" s="44"/>
      <c r="CG47" s="9"/>
      <c r="CH47" s="9"/>
      <c r="CI47" s="9"/>
      <c r="CJ47" s="26" t="e">
        <f t="shared" si="21"/>
        <v>#DIV/0!</v>
      </c>
      <c r="CK47" t="s">
        <v>88</v>
      </c>
      <c r="CN47" s="20">
        <v>739</v>
      </c>
      <c r="CO47" s="38"/>
      <c r="CP47" s="2">
        <v>18845.2</v>
      </c>
      <c r="CQ47" s="2">
        <v>0</v>
      </c>
      <c r="CR47" s="2">
        <v>17267.099999999999</v>
      </c>
      <c r="CS47" s="7">
        <f t="shared" si="22"/>
        <v>50</v>
      </c>
      <c r="CT47" s="30" t="s">
        <v>96</v>
      </c>
      <c r="CX47" s="32"/>
      <c r="DF47" s="48"/>
      <c r="DG47" s="55"/>
      <c r="DH47" s="49"/>
      <c r="DI47" s="48"/>
      <c r="DJ47" s="48"/>
      <c r="DK47" s="48"/>
      <c r="DS47" s="50"/>
    </row>
    <row r="48" spans="2:123" ht="15" thickBot="1" x14ac:dyDescent="0.35">
      <c r="B48" s="18">
        <v>618</v>
      </c>
      <c r="C48" s="44"/>
      <c r="D48" s="8"/>
      <c r="E48" s="9"/>
      <c r="F48" s="9"/>
      <c r="G48" s="10">
        <v>1.1647000000000001</v>
      </c>
      <c r="H48" t="s">
        <v>19</v>
      </c>
      <c r="K48" s="18">
        <v>618</v>
      </c>
      <c r="L48" s="44"/>
      <c r="M48" s="8">
        <v>524.6</v>
      </c>
      <c r="N48" s="9">
        <v>17388.3</v>
      </c>
      <c r="O48" s="9">
        <v>17878.2</v>
      </c>
      <c r="P48" s="10">
        <f t="shared" si="1"/>
        <v>1.3701043729234526</v>
      </c>
      <c r="Q48" t="s">
        <v>19</v>
      </c>
      <c r="CN48" s="21">
        <v>740</v>
      </c>
      <c r="CO48" s="39"/>
      <c r="CP48" s="9">
        <v>13320.8</v>
      </c>
      <c r="CQ48" s="9">
        <v>7692.1</v>
      </c>
      <c r="CR48" s="9">
        <v>18474</v>
      </c>
      <c r="CS48" s="10">
        <f t="shared" si="22"/>
        <v>29.181281801450687</v>
      </c>
      <c r="CT48" s="30" t="s">
        <v>99</v>
      </c>
      <c r="DF48" s="48"/>
      <c r="DG48" s="48"/>
      <c r="DH48" s="49"/>
      <c r="DI48" s="48"/>
      <c r="DJ48" s="48"/>
      <c r="DK48" s="48"/>
      <c r="DS48" s="50"/>
    </row>
    <row r="49" spans="2:123" x14ac:dyDescent="0.3">
      <c r="K49" s="1"/>
      <c r="L49" s="1"/>
      <c r="M49" s="1"/>
      <c r="DF49" s="48"/>
      <c r="DG49" s="48"/>
      <c r="DH49" s="49"/>
      <c r="DI49" s="48"/>
      <c r="DJ49" s="48"/>
      <c r="DK49" s="48"/>
      <c r="DS49" s="50"/>
    </row>
    <row r="50" spans="2:123" ht="15" thickBot="1" x14ac:dyDescent="0.35">
      <c r="K50" s="1"/>
      <c r="L50" s="1"/>
      <c r="M50" s="1"/>
      <c r="DF50" s="48"/>
      <c r="DG50" s="48"/>
      <c r="DH50" s="49"/>
      <c r="DI50" s="48"/>
      <c r="DJ50" s="48"/>
      <c r="DK50" s="48"/>
      <c r="DS50" s="50"/>
    </row>
    <row r="51" spans="2:123" x14ac:dyDescent="0.3">
      <c r="B51" s="16">
        <v>609</v>
      </c>
      <c r="C51" s="42" t="s">
        <v>4</v>
      </c>
      <c r="D51" s="4">
        <v>160579</v>
      </c>
      <c r="E51" s="5">
        <v>202.7</v>
      </c>
      <c r="F51" s="5">
        <v>15948.8</v>
      </c>
      <c r="G51" s="6">
        <f t="shared" si="0"/>
        <v>49.364528992776883</v>
      </c>
      <c r="H51" t="s">
        <v>10</v>
      </c>
      <c r="K51" s="16">
        <v>609</v>
      </c>
      <c r="L51" s="42" t="s">
        <v>4</v>
      </c>
      <c r="M51" s="4">
        <v>16750.5</v>
      </c>
      <c r="N51" s="5">
        <v>939.6</v>
      </c>
      <c r="O51" s="5">
        <v>17918</v>
      </c>
      <c r="P51" s="6">
        <f t="shared" si="1"/>
        <v>47.378055586561004</v>
      </c>
      <c r="Q51" t="s">
        <v>10</v>
      </c>
      <c r="T51" s="22">
        <v>640</v>
      </c>
      <c r="U51" s="42" t="s">
        <v>4</v>
      </c>
      <c r="V51" s="4">
        <v>20971.3</v>
      </c>
      <c r="W51" s="5">
        <v>39.9</v>
      </c>
      <c r="X51" s="5">
        <v>16352.3</v>
      </c>
      <c r="Y51" s="6">
        <f t="shared" si="2"/>
        <v>49.877998813622547</v>
      </c>
      <c r="Z51" t="s">
        <v>21</v>
      </c>
      <c r="AC51" s="22">
        <v>640</v>
      </c>
      <c r="AD51" s="42" t="s">
        <v>4</v>
      </c>
      <c r="AE51" s="4">
        <v>11079.5</v>
      </c>
      <c r="AF51" s="5">
        <v>55</v>
      </c>
      <c r="AG51" s="5">
        <v>9066.5</v>
      </c>
      <c r="AH51" s="6">
        <f t="shared" si="4"/>
        <v>49.696685600838251</v>
      </c>
      <c r="AI51" t="s">
        <v>21</v>
      </c>
      <c r="AL51" s="22">
        <v>649</v>
      </c>
      <c r="AM51" s="42" t="s">
        <v>3</v>
      </c>
      <c r="AN51" s="4">
        <v>20036.900000000001</v>
      </c>
      <c r="AO51" s="5">
        <v>48.1</v>
      </c>
      <c r="AP51" s="5">
        <v>17356.099999999999</v>
      </c>
      <c r="AQ51" s="6">
        <f>((AP51-AO51)/(2*AP51))*100</f>
        <v>49.861432003733562</v>
      </c>
      <c r="AR51" t="s">
        <v>10</v>
      </c>
      <c r="AU51" s="22">
        <v>662</v>
      </c>
      <c r="AV51" s="42" t="s">
        <v>3</v>
      </c>
      <c r="AW51" s="4">
        <v>20054.400000000001</v>
      </c>
      <c r="AX51" s="5">
        <v>57.8</v>
      </c>
      <c r="AY51" s="5">
        <v>16439</v>
      </c>
      <c r="AZ51" s="6">
        <f>((AY51-AX51)/(2*AY51))*100</f>
        <v>49.824198552223379</v>
      </c>
      <c r="BA51" t="s">
        <v>10</v>
      </c>
      <c r="BD51" s="22">
        <v>675</v>
      </c>
      <c r="BE51" s="42" t="s">
        <v>3</v>
      </c>
      <c r="BF51" s="4">
        <v>19769.7</v>
      </c>
      <c r="BG51" s="5">
        <v>139.9</v>
      </c>
      <c r="BH51" s="5">
        <v>17737.5</v>
      </c>
      <c r="BI51" s="6">
        <f t="shared" si="3"/>
        <v>49.605637773079629</v>
      </c>
      <c r="BJ51" t="s">
        <v>10</v>
      </c>
      <c r="BM51" s="22">
        <v>688</v>
      </c>
      <c r="BN51" s="42" t="s">
        <v>3</v>
      </c>
      <c r="BO51" s="4">
        <v>20342.8</v>
      </c>
      <c r="BP51" s="5">
        <v>49.9</v>
      </c>
      <c r="BQ51" s="5">
        <v>18776.400000000001</v>
      </c>
      <c r="BR51" s="6">
        <f t="shared" si="7"/>
        <v>49.867120427771027</v>
      </c>
      <c r="BS51" t="s">
        <v>10</v>
      </c>
      <c r="BV51" s="22">
        <v>701</v>
      </c>
      <c r="BW51" s="42" t="s">
        <v>3</v>
      </c>
      <c r="BX51" s="4">
        <v>19568.8</v>
      </c>
      <c r="BY51" s="5">
        <v>49.2</v>
      </c>
      <c r="BZ51" s="5">
        <v>16628.900000000001</v>
      </c>
      <c r="CA51" s="6">
        <f t="shared" ref="CA51:CA63" si="27">((BZ51-BY51)/(2*BZ51))*100</f>
        <v>49.852064778788737</v>
      </c>
      <c r="CB51" t="s">
        <v>10</v>
      </c>
      <c r="CF51" s="32"/>
      <c r="CG51" s="1"/>
      <c r="CN51" s="22">
        <v>727</v>
      </c>
      <c r="CO51" s="37" t="s">
        <v>3</v>
      </c>
      <c r="CP51" s="4">
        <v>17274.900000000001</v>
      </c>
      <c r="CQ51" s="5">
        <v>43.4</v>
      </c>
      <c r="CR51" s="5">
        <v>16678.2</v>
      </c>
      <c r="CS51" s="6">
        <f t="shared" ref="CS51:CS64" si="28">((CR51-CQ51)/(2*CR51))*100</f>
        <v>49.869890036095015</v>
      </c>
      <c r="CT51" s="30" t="s">
        <v>10</v>
      </c>
      <c r="CW51" s="22">
        <v>741</v>
      </c>
      <c r="CX51" s="37" t="s">
        <v>103</v>
      </c>
      <c r="CY51" s="4">
        <v>16731.8</v>
      </c>
      <c r="CZ51" s="5">
        <v>1056.3</v>
      </c>
      <c r="DA51" s="5">
        <v>14618.1</v>
      </c>
      <c r="DB51" s="6">
        <f t="shared" ref="DB51:DB60" si="29">((DA51-CZ51)/(2*DA51))*100</f>
        <v>46.387013360149403</v>
      </c>
      <c r="DC51" t="s">
        <v>10</v>
      </c>
      <c r="DF51" s="19">
        <v>751</v>
      </c>
      <c r="DG51" s="38" t="s">
        <v>103</v>
      </c>
      <c r="DH51" s="13">
        <v>21954.7</v>
      </c>
      <c r="DI51" s="11">
        <v>840.8</v>
      </c>
      <c r="DJ51" s="11">
        <v>16949.099999999999</v>
      </c>
      <c r="DK51" s="12">
        <f t="shared" ref="DK51:DK60" si="30">((DJ51-DI51)/(2*DJ51))*100</f>
        <v>47.519632310860167</v>
      </c>
      <c r="DL51" t="s">
        <v>10</v>
      </c>
      <c r="DS51" s="50"/>
    </row>
    <row r="52" spans="2:123" x14ac:dyDescent="0.3">
      <c r="B52" s="17">
        <v>610</v>
      </c>
      <c r="C52" s="43"/>
      <c r="D52" s="3">
        <v>16189.4</v>
      </c>
      <c r="E52" s="2">
        <v>3200.4</v>
      </c>
      <c r="F52" s="2">
        <v>16626.8</v>
      </c>
      <c r="G52" s="7">
        <f t="shared" si="0"/>
        <v>40.375778863040395</v>
      </c>
      <c r="H52" t="s">
        <v>11</v>
      </c>
      <c r="K52" s="17">
        <v>610</v>
      </c>
      <c r="L52" s="43"/>
      <c r="M52" s="3">
        <v>14746.1</v>
      </c>
      <c r="N52" s="2">
        <v>4277.5</v>
      </c>
      <c r="O52" s="2">
        <v>17043.599999999999</v>
      </c>
      <c r="P52" s="7">
        <f t="shared" si="1"/>
        <v>37.451301368255528</v>
      </c>
      <c r="Q52" t="s">
        <v>11</v>
      </c>
      <c r="T52" s="20">
        <v>641</v>
      </c>
      <c r="U52" s="43"/>
      <c r="V52" s="3">
        <v>21537.599999999999</v>
      </c>
      <c r="W52" s="2">
        <v>25.6</v>
      </c>
      <c r="X52" s="2">
        <v>16084.1</v>
      </c>
      <c r="Y52" s="7">
        <f t="shared" si="2"/>
        <v>49.920418301303769</v>
      </c>
      <c r="Z52" t="s">
        <v>22</v>
      </c>
      <c r="AC52" s="20">
        <v>641</v>
      </c>
      <c r="AD52" s="43"/>
      <c r="AE52" s="3">
        <v>8087.4</v>
      </c>
      <c r="AF52" s="2">
        <v>42.3</v>
      </c>
      <c r="AG52" s="2">
        <v>6437.3</v>
      </c>
      <c r="AH52" s="7">
        <f t="shared" si="4"/>
        <v>49.671446103179903</v>
      </c>
      <c r="AI52" t="s">
        <v>22</v>
      </c>
      <c r="AL52" s="20">
        <v>650</v>
      </c>
      <c r="AM52" s="43"/>
      <c r="AN52" s="3">
        <v>20291.400000000001</v>
      </c>
      <c r="AO52" s="2">
        <v>273.8</v>
      </c>
      <c r="AP52" s="2">
        <v>16442</v>
      </c>
      <c r="AQ52" s="7">
        <f t="shared" ref="AQ52:AQ63" si="31">((AP52-AO52)/(2*AP52))*100</f>
        <v>49.167376231601992</v>
      </c>
      <c r="AR52" t="s">
        <v>11</v>
      </c>
      <c r="AU52" s="20">
        <v>663</v>
      </c>
      <c r="AV52" s="43"/>
      <c r="AW52" s="3">
        <v>20270.8</v>
      </c>
      <c r="AX52" s="2">
        <v>651.9</v>
      </c>
      <c r="AY52" s="2">
        <v>15594.1</v>
      </c>
      <c r="AZ52" s="7">
        <f t="shared" ref="AZ52:AZ63" si="32">((AY52-AX52)/(2*AY52))*100</f>
        <v>47.909786393571927</v>
      </c>
      <c r="BA52" t="s">
        <v>11</v>
      </c>
      <c r="BD52" s="20">
        <v>676</v>
      </c>
      <c r="BE52" s="43"/>
      <c r="BF52" s="3">
        <v>19900.900000000001</v>
      </c>
      <c r="BG52" s="2">
        <v>1885.2</v>
      </c>
      <c r="BH52" s="2">
        <v>16462.599999999999</v>
      </c>
      <c r="BI52" s="12">
        <f t="shared" si="3"/>
        <v>44.274294461385196</v>
      </c>
      <c r="BJ52" t="s">
        <v>11</v>
      </c>
      <c r="BM52" s="20">
        <v>689</v>
      </c>
      <c r="BN52" s="43"/>
      <c r="BO52" s="3">
        <v>21202.799999999999</v>
      </c>
      <c r="BP52" s="2">
        <v>156.9</v>
      </c>
      <c r="BQ52" s="2">
        <v>17780.400000000001</v>
      </c>
      <c r="BR52" s="12">
        <f t="shared" si="7"/>
        <v>49.558783829385163</v>
      </c>
      <c r="BS52" t="s">
        <v>11</v>
      </c>
      <c r="BV52" s="20">
        <v>702</v>
      </c>
      <c r="BW52" s="43"/>
      <c r="BX52" s="3">
        <v>19398.7</v>
      </c>
      <c r="BY52" s="2">
        <v>2845.4</v>
      </c>
      <c r="BZ52" s="2">
        <v>18100.5</v>
      </c>
      <c r="CA52" s="12">
        <f t="shared" si="27"/>
        <v>42.139996132703516</v>
      </c>
      <c r="CB52" t="s">
        <v>11</v>
      </c>
      <c r="CF52" s="32"/>
      <c r="CG52" s="1"/>
      <c r="CN52" s="20">
        <v>728</v>
      </c>
      <c r="CO52" s="38"/>
      <c r="CP52" s="3">
        <v>18988.7</v>
      </c>
      <c r="CQ52" s="2">
        <v>108.6</v>
      </c>
      <c r="CR52" s="2">
        <v>16906.2</v>
      </c>
      <c r="CS52" s="7">
        <f t="shared" si="28"/>
        <v>49.678816055648227</v>
      </c>
      <c r="CT52" s="30" t="s">
        <v>11</v>
      </c>
      <c r="CW52" s="20">
        <v>742</v>
      </c>
      <c r="CX52" s="38"/>
      <c r="CY52" s="3">
        <v>20529.8</v>
      </c>
      <c r="CZ52" s="2">
        <v>2316.1</v>
      </c>
      <c r="DA52" s="2">
        <v>19683.2</v>
      </c>
      <c r="DB52" s="12">
        <f t="shared" si="29"/>
        <v>44.1165562510161</v>
      </c>
      <c r="DC52" s="30" t="s">
        <v>11</v>
      </c>
      <c r="DF52" s="20">
        <v>752</v>
      </c>
      <c r="DG52" s="38"/>
      <c r="DH52" s="13">
        <v>19550.7</v>
      </c>
      <c r="DI52" s="11">
        <v>3006.3</v>
      </c>
      <c r="DJ52" s="11">
        <v>16161</v>
      </c>
      <c r="DK52" s="12">
        <f t="shared" si="30"/>
        <v>40.698904770744385</v>
      </c>
      <c r="DL52" s="30" t="s">
        <v>11</v>
      </c>
      <c r="DS52" s="50"/>
    </row>
    <row r="53" spans="2:123" x14ac:dyDescent="0.3">
      <c r="B53" s="17">
        <v>611</v>
      </c>
      <c r="C53" s="43"/>
      <c r="D53" s="3">
        <v>9936.2999999999993</v>
      </c>
      <c r="E53" s="2">
        <v>9384.9</v>
      </c>
      <c r="F53" s="2">
        <v>16559.5</v>
      </c>
      <c r="G53" s="7">
        <f t="shared" si="0"/>
        <v>21.663093692442406</v>
      </c>
      <c r="H53" t="s">
        <v>12</v>
      </c>
      <c r="K53" s="17">
        <v>611</v>
      </c>
      <c r="L53" s="43"/>
      <c r="M53" s="3">
        <v>8788.7000000000007</v>
      </c>
      <c r="N53" s="2">
        <v>10817.5</v>
      </c>
      <c r="O53" s="2">
        <v>17295.5</v>
      </c>
      <c r="P53" s="7">
        <f t="shared" si="1"/>
        <v>18.727414645428002</v>
      </c>
      <c r="Q53" t="s">
        <v>12</v>
      </c>
      <c r="T53" s="20">
        <v>642</v>
      </c>
      <c r="U53" s="43"/>
      <c r="V53" s="3">
        <v>18660.099999999999</v>
      </c>
      <c r="W53" s="2">
        <v>92.9</v>
      </c>
      <c r="X53" s="2">
        <v>15489.4</v>
      </c>
      <c r="Y53" s="7">
        <f t="shared" si="2"/>
        <v>49.700117499709478</v>
      </c>
      <c r="Z53" t="s">
        <v>23</v>
      </c>
      <c r="AC53" s="20">
        <v>642</v>
      </c>
      <c r="AD53" s="43"/>
      <c r="AE53" s="3">
        <v>18982.400000000001</v>
      </c>
      <c r="AF53" s="2">
        <v>50</v>
      </c>
      <c r="AG53" s="2">
        <v>15675.2</v>
      </c>
      <c r="AH53" s="7">
        <f t="shared" si="4"/>
        <v>49.840512401755639</v>
      </c>
      <c r="AI53" t="s">
        <v>23</v>
      </c>
      <c r="AL53" s="20">
        <v>651</v>
      </c>
      <c r="AM53" s="43"/>
      <c r="AN53" s="3">
        <v>15905.3</v>
      </c>
      <c r="AO53" s="2">
        <v>5381.1</v>
      </c>
      <c r="AP53" s="2">
        <v>16448.8</v>
      </c>
      <c r="AQ53" s="7">
        <f t="shared" si="31"/>
        <v>33.642879723748841</v>
      </c>
      <c r="AR53" t="s">
        <v>12</v>
      </c>
      <c r="AU53" s="19">
        <v>664</v>
      </c>
      <c r="AV53" s="43"/>
      <c r="AW53" s="3">
        <v>15820.2</v>
      </c>
      <c r="AX53" s="2">
        <v>5427.8</v>
      </c>
      <c r="AY53" s="2">
        <v>15937.2</v>
      </c>
      <c r="AZ53" s="7">
        <f t="shared" si="32"/>
        <v>32.971287302662958</v>
      </c>
      <c r="BA53" t="s">
        <v>12</v>
      </c>
      <c r="BD53" s="19">
        <v>677</v>
      </c>
      <c r="BE53" s="43"/>
      <c r="BF53" s="3">
        <v>12754.9</v>
      </c>
      <c r="BG53" s="2">
        <v>9744.5</v>
      </c>
      <c r="BH53" s="2">
        <v>19679.099999999999</v>
      </c>
      <c r="BI53" s="12">
        <f t="shared" si="3"/>
        <v>25.241499865339367</v>
      </c>
      <c r="BJ53" t="s">
        <v>12</v>
      </c>
      <c r="BM53" s="19">
        <v>690</v>
      </c>
      <c r="BN53" s="43"/>
      <c r="BO53" s="3">
        <v>17038.7</v>
      </c>
      <c r="BP53" s="2">
        <v>4321.6000000000004</v>
      </c>
      <c r="BQ53" s="2">
        <v>16935.5</v>
      </c>
      <c r="BR53" s="12">
        <f t="shared" si="7"/>
        <v>37.241002627616545</v>
      </c>
      <c r="BS53" t="s">
        <v>12</v>
      </c>
      <c r="BV53" s="19">
        <v>703</v>
      </c>
      <c r="BW53" s="43"/>
      <c r="BX53" s="3">
        <v>15820</v>
      </c>
      <c r="BY53" s="2">
        <v>6261.9</v>
      </c>
      <c r="BZ53" s="2">
        <v>17339.599999999999</v>
      </c>
      <c r="CA53" s="12">
        <f t="shared" si="27"/>
        <v>31.943355094696535</v>
      </c>
      <c r="CB53" t="s">
        <v>12</v>
      </c>
      <c r="CF53" s="32"/>
      <c r="CG53" s="1"/>
      <c r="CN53" s="20">
        <v>729</v>
      </c>
      <c r="CO53" s="38"/>
      <c r="CP53" s="3">
        <v>14774.3</v>
      </c>
      <c r="CQ53" s="2">
        <v>5044.7</v>
      </c>
      <c r="CR53" s="2">
        <v>16364.4</v>
      </c>
      <c r="CS53" s="7">
        <f t="shared" si="28"/>
        <v>34.586358192173257</v>
      </c>
      <c r="CT53" s="30" t="s">
        <v>12</v>
      </c>
      <c r="CW53" s="19">
        <v>743</v>
      </c>
      <c r="CX53" s="38"/>
      <c r="CY53" s="3">
        <v>13488.9</v>
      </c>
      <c r="CZ53" s="2">
        <v>9979.1</v>
      </c>
      <c r="DA53" s="2">
        <v>18956</v>
      </c>
      <c r="DB53" s="12">
        <f t="shared" si="29"/>
        <v>23.678254906098331</v>
      </c>
      <c r="DC53" s="30" t="s">
        <v>12</v>
      </c>
      <c r="DF53" s="19">
        <v>753</v>
      </c>
      <c r="DG53" s="38"/>
      <c r="DH53" s="13">
        <v>12974.2</v>
      </c>
      <c r="DI53" s="11">
        <v>9175.6</v>
      </c>
      <c r="DJ53" s="11">
        <v>17043.5</v>
      </c>
      <c r="DK53" s="12">
        <f t="shared" si="30"/>
        <v>23.081820048698916</v>
      </c>
      <c r="DL53" s="30" t="s">
        <v>12</v>
      </c>
      <c r="DS53" s="50"/>
    </row>
    <row r="54" spans="2:123" x14ac:dyDescent="0.3">
      <c r="B54" s="17">
        <v>612</v>
      </c>
      <c r="C54" s="43"/>
      <c r="D54" s="3">
        <v>3237</v>
      </c>
      <c r="E54" s="2">
        <v>14818.9</v>
      </c>
      <c r="F54" s="2">
        <v>16980.8</v>
      </c>
      <c r="G54" s="7">
        <f t="shared" si="0"/>
        <v>6.3657189296146219</v>
      </c>
      <c r="H54" t="s">
        <v>13</v>
      </c>
      <c r="K54" s="17">
        <v>612</v>
      </c>
      <c r="L54" s="43"/>
      <c r="M54" s="3">
        <v>3683.6</v>
      </c>
      <c r="N54" s="2">
        <v>14947.2</v>
      </c>
      <c r="O54" s="2">
        <v>17450.2</v>
      </c>
      <c r="P54" s="7">
        <f t="shared" si="1"/>
        <v>7.1718375720622101</v>
      </c>
      <c r="Q54" t="s">
        <v>13</v>
      </c>
      <c r="T54" s="20">
        <v>643</v>
      </c>
      <c r="U54" s="43"/>
      <c r="V54" s="3">
        <v>10946.7</v>
      </c>
      <c r="W54" s="2">
        <v>241.4</v>
      </c>
      <c r="X54" s="2">
        <v>15944.3</v>
      </c>
      <c r="Y54" s="7">
        <f t="shared" si="2"/>
        <v>49.24298965774603</v>
      </c>
      <c r="Z54" t="s">
        <v>24</v>
      </c>
      <c r="AC54" s="20">
        <v>643</v>
      </c>
      <c r="AD54" s="43"/>
      <c r="AE54" s="3">
        <v>15482.9</v>
      </c>
      <c r="AF54" s="2">
        <v>18.2</v>
      </c>
      <c r="AG54" s="2">
        <v>14836.5</v>
      </c>
      <c r="AH54" s="7">
        <f t="shared" si="4"/>
        <v>49.938664779429111</v>
      </c>
      <c r="AI54" t="s">
        <v>30</v>
      </c>
      <c r="AL54" s="20">
        <v>652</v>
      </c>
      <c r="AM54" s="43"/>
      <c r="AN54" s="3">
        <v>4737.7</v>
      </c>
      <c r="AO54" s="2">
        <v>13946.9</v>
      </c>
      <c r="AP54" s="2">
        <v>16928.900000000001</v>
      </c>
      <c r="AQ54" s="7">
        <f t="shared" si="31"/>
        <v>8.8074239909267629</v>
      </c>
      <c r="AR54" t="s">
        <v>13</v>
      </c>
      <c r="AU54" s="20">
        <v>665</v>
      </c>
      <c r="AV54" s="43"/>
      <c r="AW54" s="3">
        <v>148.4</v>
      </c>
      <c r="AX54" s="2">
        <v>17158.8</v>
      </c>
      <c r="AY54" s="2">
        <v>17369.599999999999</v>
      </c>
      <c r="AZ54" s="7">
        <f t="shared" si="32"/>
        <v>0.60680729550478796</v>
      </c>
      <c r="BA54" t="s">
        <v>13</v>
      </c>
      <c r="BD54" s="20">
        <v>678</v>
      </c>
      <c r="BE54" s="43"/>
      <c r="BF54" s="3">
        <v>3931.9</v>
      </c>
      <c r="BG54" s="2">
        <v>16384.400000000001</v>
      </c>
      <c r="BH54" s="2">
        <v>19168.599999999999</v>
      </c>
      <c r="BI54" s="12">
        <f t="shared" si="3"/>
        <v>7.2623978798660245</v>
      </c>
      <c r="BJ54" t="s">
        <v>13</v>
      </c>
      <c r="BM54" s="20">
        <v>691</v>
      </c>
      <c r="BN54" s="43"/>
      <c r="BO54" s="3">
        <v>9129.1</v>
      </c>
      <c r="BP54" s="2">
        <v>24101.3</v>
      </c>
      <c r="BQ54" s="2">
        <v>30206.2</v>
      </c>
      <c r="BR54" s="12">
        <f t="shared" si="7"/>
        <v>10.105375717567918</v>
      </c>
      <c r="BS54" t="s">
        <v>13</v>
      </c>
      <c r="BV54" s="20">
        <v>704</v>
      </c>
      <c r="BW54" s="43"/>
      <c r="BX54" s="3">
        <v>4426.6000000000004</v>
      </c>
      <c r="BY54" s="2">
        <v>14729.2</v>
      </c>
      <c r="BZ54" s="2">
        <v>17555.3</v>
      </c>
      <c r="CA54" s="12">
        <f t="shared" si="27"/>
        <v>8.0491361583111605</v>
      </c>
      <c r="CB54" t="s">
        <v>13</v>
      </c>
      <c r="CF54" s="32"/>
      <c r="CG54" s="1"/>
      <c r="CN54" s="20">
        <v>730</v>
      </c>
      <c r="CO54" s="38"/>
      <c r="CP54" s="3">
        <v>3686.5</v>
      </c>
      <c r="CQ54" s="2">
        <v>11309.3</v>
      </c>
      <c r="CR54" s="2">
        <v>13606.4</v>
      </c>
      <c r="CS54" s="7">
        <f t="shared" si="28"/>
        <v>8.4412482361241779</v>
      </c>
      <c r="CT54" s="30" t="s">
        <v>13</v>
      </c>
      <c r="CW54" s="20">
        <v>744</v>
      </c>
      <c r="CX54" s="38"/>
      <c r="CY54" s="3">
        <v>4353.3</v>
      </c>
      <c r="CZ54" s="2">
        <v>16483.7</v>
      </c>
      <c r="DA54" s="2">
        <v>19118.5</v>
      </c>
      <c r="DB54" s="12">
        <f t="shared" si="29"/>
        <v>6.8907079530297857</v>
      </c>
      <c r="DC54" s="30" t="s">
        <v>13</v>
      </c>
      <c r="DF54" s="20">
        <v>754</v>
      </c>
      <c r="DG54" s="38"/>
      <c r="DH54" s="13">
        <v>3297.3</v>
      </c>
      <c r="DI54" s="11">
        <v>16360.6</v>
      </c>
      <c r="DJ54" s="11">
        <v>18390.3</v>
      </c>
      <c r="DK54" s="12">
        <f t="shared" si="30"/>
        <v>5.518398286052971</v>
      </c>
      <c r="DL54" s="30" t="s">
        <v>13</v>
      </c>
      <c r="DS54" s="50"/>
    </row>
    <row r="55" spans="2:123" x14ac:dyDescent="0.3">
      <c r="B55" s="17">
        <v>613</v>
      </c>
      <c r="C55" s="43"/>
      <c r="D55" s="3"/>
      <c r="E55" s="2">
        <v>0</v>
      </c>
      <c r="F55" s="2">
        <v>1</v>
      </c>
      <c r="G55" s="7">
        <f t="shared" si="0"/>
        <v>50</v>
      </c>
      <c r="H55" t="s">
        <v>14</v>
      </c>
      <c r="K55" s="17">
        <v>613</v>
      </c>
      <c r="L55" s="43"/>
      <c r="M55" s="3">
        <v>17222.7</v>
      </c>
      <c r="N55" s="2">
        <v>262.10000000000002</v>
      </c>
      <c r="O55" s="2">
        <v>16850.5</v>
      </c>
      <c r="P55" s="7">
        <f t="shared" si="1"/>
        <v>49.222278270674465</v>
      </c>
      <c r="Q55" t="s">
        <v>14</v>
      </c>
      <c r="T55" s="20">
        <v>644</v>
      </c>
      <c r="U55" s="43"/>
      <c r="V55" s="3">
        <v>15308.1</v>
      </c>
      <c r="W55" s="2">
        <v>1091.5999999999999</v>
      </c>
      <c r="X55" s="2">
        <v>16364</v>
      </c>
      <c r="Y55" s="7">
        <f t="shared" si="2"/>
        <v>46.664629674896112</v>
      </c>
      <c r="Z55" t="s">
        <v>26</v>
      </c>
      <c r="AC55" s="20">
        <v>644</v>
      </c>
      <c r="AD55" s="43"/>
      <c r="AE55" s="3">
        <v>17129</v>
      </c>
      <c r="AF55" s="2">
        <v>19.600000000000001</v>
      </c>
      <c r="AG55" s="2">
        <v>16058.4</v>
      </c>
      <c r="AH55" s="7">
        <f t="shared" si="4"/>
        <v>49.938972749464455</v>
      </c>
      <c r="AI55" t="s">
        <v>26</v>
      </c>
      <c r="AL55" s="20">
        <v>653</v>
      </c>
      <c r="AM55" s="43"/>
      <c r="AN55" s="3">
        <v>113.8</v>
      </c>
      <c r="AO55" s="2">
        <v>16505.2</v>
      </c>
      <c r="AP55" s="2">
        <v>16720.099999999999</v>
      </c>
      <c r="AQ55" s="7">
        <f t="shared" si="31"/>
        <v>0.64263969713099156</v>
      </c>
      <c r="AR55" t="s">
        <v>35</v>
      </c>
      <c r="AU55" s="19">
        <v>666</v>
      </c>
      <c r="AV55" s="43"/>
      <c r="AW55" s="3">
        <v>20020.599999999999</v>
      </c>
      <c r="AX55" s="2">
        <v>51</v>
      </c>
      <c r="AY55" s="2">
        <v>16299.1</v>
      </c>
      <c r="AZ55" s="7">
        <f t="shared" si="32"/>
        <v>49.843549643845364</v>
      </c>
      <c r="BA55" t="s">
        <v>44</v>
      </c>
      <c r="BD55" s="19">
        <v>679</v>
      </c>
      <c r="BE55" s="43"/>
      <c r="BF55" s="3">
        <v>19710.5</v>
      </c>
      <c r="BG55" s="2">
        <v>155.30000000000001</v>
      </c>
      <c r="BH55" s="2">
        <v>17765.099999999999</v>
      </c>
      <c r="BI55" s="12">
        <f t="shared" si="3"/>
        <v>49.562907048088675</v>
      </c>
      <c r="BJ55" s="25" t="s">
        <v>56</v>
      </c>
      <c r="BM55" s="19">
        <v>692</v>
      </c>
      <c r="BN55" s="43"/>
      <c r="BO55" s="3">
        <v>10086.200000000001</v>
      </c>
      <c r="BP55" s="2">
        <v>10092</v>
      </c>
      <c r="BQ55" s="2">
        <v>17132.599999999999</v>
      </c>
      <c r="BR55" s="12">
        <f t="shared" si="7"/>
        <v>20.547377514212666</v>
      </c>
      <c r="BS55" s="25" t="s">
        <v>62</v>
      </c>
      <c r="BV55" s="19">
        <v>705</v>
      </c>
      <c r="BW55" s="43"/>
      <c r="BX55" s="3">
        <v>20052.2</v>
      </c>
      <c r="BY55" s="2">
        <v>37.9</v>
      </c>
      <c r="BZ55" s="2">
        <v>17136.8</v>
      </c>
      <c r="CA55" s="12">
        <f t="shared" si="27"/>
        <v>49.889419261472383</v>
      </c>
      <c r="CB55" s="25" t="s">
        <v>71</v>
      </c>
      <c r="CF55" s="32"/>
      <c r="CG55" s="1"/>
      <c r="CK55" s="25"/>
      <c r="CN55" s="20">
        <v>731</v>
      </c>
      <c r="CO55" s="38"/>
      <c r="CP55" s="3">
        <v>10412</v>
      </c>
      <c r="CQ55" s="2">
        <v>0</v>
      </c>
      <c r="CR55" s="2">
        <v>15689.1</v>
      </c>
      <c r="CS55" s="7">
        <f t="shared" si="28"/>
        <v>50</v>
      </c>
      <c r="CT55" s="31" t="s">
        <v>90</v>
      </c>
      <c r="CW55" s="19">
        <v>745</v>
      </c>
      <c r="CX55" s="38"/>
      <c r="CY55" s="3">
        <v>23408.9</v>
      </c>
      <c r="CZ55" s="2">
        <v>352.2</v>
      </c>
      <c r="DA55" s="2">
        <v>20855</v>
      </c>
      <c r="DB55" s="12">
        <f t="shared" si="29"/>
        <v>49.155598177894987</v>
      </c>
      <c r="DC55" s="30" t="s">
        <v>14</v>
      </c>
      <c r="DF55" s="19">
        <v>755</v>
      </c>
      <c r="DG55" s="38"/>
      <c r="DH55" s="13">
        <v>21582.5</v>
      </c>
      <c r="DI55" s="11">
        <v>716.8</v>
      </c>
      <c r="DJ55" s="11">
        <v>16467.900000000001</v>
      </c>
      <c r="DK55" s="12">
        <f t="shared" si="30"/>
        <v>47.823644787738573</v>
      </c>
      <c r="DL55" s="30" t="s">
        <v>80</v>
      </c>
      <c r="DS55" s="50"/>
    </row>
    <row r="56" spans="2:123" x14ac:dyDescent="0.3">
      <c r="B56" s="17">
        <v>614</v>
      </c>
      <c r="C56" s="43"/>
      <c r="D56" s="3"/>
      <c r="E56" s="2">
        <v>0</v>
      </c>
      <c r="F56" s="2">
        <v>1</v>
      </c>
      <c r="G56" s="7">
        <f t="shared" si="0"/>
        <v>50</v>
      </c>
      <c r="H56" t="s">
        <v>15</v>
      </c>
      <c r="K56" s="17">
        <v>614</v>
      </c>
      <c r="L56" s="43"/>
      <c r="M56" s="3">
        <v>17869.8</v>
      </c>
      <c r="N56" s="2">
        <v>60.8</v>
      </c>
      <c r="O56" s="2">
        <v>16511.099999999999</v>
      </c>
      <c r="P56" s="7">
        <f t="shared" si="1"/>
        <v>49.815881437336095</v>
      </c>
      <c r="Q56" t="s">
        <v>15</v>
      </c>
      <c r="T56" s="20">
        <v>645</v>
      </c>
      <c r="U56" s="43"/>
      <c r="V56" s="3">
        <v>15361.3</v>
      </c>
      <c r="W56" s="2">
        <v>1017.4</v>
      </c>
      <c r="X56" s="2">
        <v>16544.400000000001</v>
      </c>
      <c r="Y56" s="7">
        <f t="shared" si="2"/>
        <v>46.925243586953897</v>
      </c>
      <c r="Z56" t="s">
        <v>25</v>
      </c>
      <c r="AC56" s="20">
        <v>645</v>
      </c>
      <c r="AD56" s="43"/>
      <c r="AE56" s="3">
        <v>15805.6</v>
      </c>
      <c r="AF56" s="2">
        <v>39.1</v>
      </c>
      <c r="AG56" s="2">
        <v>16069.3</v>
      </c>
      <c r="AH56" s="7">
        <f t="shared" si="4"/>
        <v>49.878339442290574</v>
      </c>
      <c r="AI56" t="s">
        <v>25</v>
      </c>
      <c r="AL56" s="20">
        <v>654</v>
      </c>
      <c r="AM56" s="43"/>
      <c r="AN56" s="3">
        <v>128.1</v>
      </c>
      <c r="AO56" s="2">
        <v>17263.5</v>
      </c>
      <c r="AP56" s="2">
        <v>17499.400000000001</v>
      </c>
      <c r="AQ56" s="7">
        <f t="shared" si="31"/>
        <v>0.67402310936375376</v>
      </c>
      <c r="AR56" t="s">
        <v>36</v>
      </c>
      <c r="AU56" s="20">
        <v>667</v>
      </c>
      <c r="AV56" s="43"/>
      <c r="AW56" s="3">
        <v>21214.9</v>
      </c>
      <c r="AX56" s="2">
        <v>205.2</v>
      </c>
      <c r="AY56" s="2">
        <v>15213.2</v>
      </c>
      <c r="AZ56" s="7">
        <f t="shared" si="32"/>
        <v>49.325585675597509</v>
      </c>
      <c r="BA56" t="s">
        <v>46</v>
      </c>
      <c r="BD56" s="20">
        <v>680</v>
      </c>
      <c r="BE56" s="43"/>
      <c r="BF56" s="3">
        <v>19041</v>
      </c>
      <c r="BG56" s="2">
        <v>73.5</v>
      </c>
      <c r="BH56" s="2">
        <v>17268.900000000001</v>
      </c>
      <c r="BI56" s="12">
        <f t="shared" si="3"/>
        <v>49.787189687820302</v>
      </c>
      <c r="BJ56" t="s">
        <v>57</v>
      </c>
      <c r="BM56" s="20">
        <v>693</v>
      </c>
      <c r="BN56" s="43"/>
      <c r="BO56" s="3">
        <v>3224.1</v>
      </c>
      <c r="BP56" s="2">
        <v>14774.3</v>
      </c>
      <c r="BQ56" s="2">
        <v>16938.099999999999</v>
      </c>
      <c r="BR56" s="12">
        <f t="shared" si="7"/>
        <v>6.3873752073727266</v>
      </c>
      <c r="BS56" t="s">
        <v>63</v>
      </c>
      <c r="BV56" s="20">
        <v>706</v>
      </c>
      <c r="BW56" s="43"/>
      <c r="BX56" s="3">
        <v>19565.900000000001</v>
      </c>
      <c r="BY56" s="2">
        <v>34.799999999999997</v>
      </c>
      <c r="BZ56" s="2">
        <v>16747.5</v>
      </c>
      <c r="CA56" s="12">
        <f t="shared" si="27"/>
        <v>49.896103896103902</v>
      </c>
      <c r="CB56" t="s">
        <v>72</v>
      </c>
      <c r="CF56" s="32"/>
      <c r="CG56" s="1"/>
      <c r="CN56" s="20">
        <v>732</v>
      </c>
      <c r="CO56" s="38"/>
      <c r="CP56" s="3">
        <v>8694.2000000000007</v>
      </c>
      <c r="CQ56" s="2">
        <v>0</v>
      </c>
      <c r="CR56" s="2">
        <v>13965.9</v>
      </c>
      <c r="CS56" s="7">
        <f t="shared" si="28"/>
        <v>50</v>
      </c>
      <c r="CT56" s="30" t="s">
        <v>91</v>
      </c>
      <c r="CW56" s="20">
        <v>746</v>
      </c>
      <c r="CX56" s="38"/>
      <c r="CY56" s="3">
        <v>21080.5</v>
      </c>
      <c r="CZ56" s="2">
        <v>850</v>
      </c>
      <c r="DA56" s="2">
        <v>18539.8</v>
      </c>
      <c r="DB56" s="12">
        <f t="shared" si="29"/>
        <v>47.707634386562965</v>
      </c>
      <c r="DC56" s="30" t="s">
        <v>15</v>
      </c>
      <c r="DF56" s="20">
        <v>756</v>
      </c>
      <c r="DG56" s="38"/>
      <c r="DH56" s="13">
        <v>20607.7</v>
      </c>
      <c r="DI56" s="11">
        <v>2007.1</v>
      </c>
      <c r="DJ56" s="11">
        <v>18554.3</v>
      </c>
      <c r="DK56" s="12">
        <f t="shared" si="30"/>
        <v>44.59128072737856</v>
      </c>
      <c r="DL56" s="30" t="s">
        <v>81</v>
      </c>
      <c r="DS56" s="50"/>
    </row>
    <row r="57" spans="2:123" x14ac:dyDescent="0.3">
      <c r="B57" s="17">
        <v>615</v>
      </c>
      <c r="C57" s="43"/>
      <c r="D57" s="3"/>
      <c r="E57" s="2">
        <v>0</v>
      </c>
      <c r="F57" s="2">
        <v>1</v>
      </c>
      <c r="G57" s="7">
        <f t="shared" si="0"/>
        <v>50</v>
      </c>
      <c r="H57" t="s">
        <v>16</v>
      </c>
      <c r="K57" s="17">
        <v>615</v>
      </c>
      <c r="L57" s="43"/>
      <c r="M57" s="3">
        <v>19245.900000000001</v>
      </c>
      <c r="N57" s="2">
        <v>27.7</v>
      </c>
      <c r="O57" s="2">
        <v>15505.8</v>
      </c>
      <c r="P57" s="7">
        <f t="shared" si="1"/>
        <v>49.910678584787625</v>
      </c>
      <c r="Q57" t="s">
        <v>16</v>
      </c>
      <c r="T57" s="20">
        <v>646</v>
      </c>
      <c r="U57" s="43"/>
      <c r="V57" s="3">
        <v>7266.6</v>
      </c>
      <c r="W57" s="2">
        <v>8994.2999999999993</v>
      </c>
      <c r="X57" s="2">
        <v>15467</v>
      </c>
      <c r="Y57" s="7">
        <f t="shared" si="2"/>
        <v>20.924225770996316</v>
      </c>
      <c r="Z57" t="s">
        <v>27</v>
      </c>
      <c r="AC57" s="20">
        <v>646</v>
      </c>
      <c r="AD57" s="43"/>
      <c r="AE57" s="3">
        <v>3987.6</v>
      </c>
      <c r="AF57" s="2">
        <v>12335.9</v>
      </c>
      <c r="AG57" s="2">
        <v>15910</v>
      </c>
      <c r="AH57" s="7">
        <f t="shared" si="4"/>
        <v>11.232243871778756</v>
      </c>
      <c r="AI57" t="s">
        <v>27</v>
      </c>
      <c r="AL57" s="20">
        <v>655</v>
      </c>
      <c r="AM57" s="43"/>
      <c r="AN57" s="3">
        <v>142.6</v>
      </c>
      <c r="AO57" s="2">
        <v>16823.7</v>
      </c>
      <c r="AP57" s="2">
        <v>17042</v>
      </c>
      <c r="AQ57" s="7">
        <f t="shared" si="31"/>
        <v>0.64047646989789708</v>
      </c>
      <c r="AR57" t="s">
        <v>37</v>
      </c>
      <c r="AU57" s="19">
        <v>668</v>
      </c>
      <c r="AV57" s="43"/>
      <c r="AW57" s="3">
        <v>21738.799999999999</v>
      </c>
      <c r="AX57" s="2">
        <v>826.4</v>
      </c>
      <c r="AY57" s="2">
        <v>15584.1</v>
      </c>
      <c r="AZ57" s="7">
        <f t="shared" si="32"/>
        <v>47.348579642071087</v>
      </c>
      <c r="BA57" t="s">
        <v>45</v>
      </c>
      <c r="BD57" s="19">
        <v>681</v>
      </c>
      <c r="BE57" s="43"/>
      <c r="BF57" s="3">
        <v>21177.200000000001</v>
      </c>
      <c r="BG57" s="2">
        <v>81.900000000000006</v>
      </c>
      <c r="BH57" s="2">
        <v>17155.3</v>
      </c>
      <c r="BI57" s="12">
        <f t="shared" si="3"/>
        <v>49.761298257681297</v>
      </c>
      <c r="BJ57" t="s">
        <v>58</v>
      </c>
      <c r="BM57" s="19">
        <v>694</v>
      </c>
      <c r="BN57" s="43"/>
      <c r="BO57" s="3">
        <v>1241.8</v>
      </c>
      <c r="BP57" s="2">
        <v>16485.7</v>
      </c>
      <c r="BQ57" s="2">
        <v>17311.5</v>
      </c>
      <c r="BR57" s="12">
        <f t="shared" si="7"/>
        <v>2.3851197181064587</v>
      </c>
      <c r="BS57" t="s">
        <v>64</v>
      </c>
      <c r="BV57" s="19">
        <v>707</v>
      </c>
      <c r="BW57" s="43"/>
      <c r="BX57" s="3">
        <v>19709.900000000001</v>
      </c>
      <c r="BY57" s="2">
        <v>62.7</v>
      </c>
      <c r="BZ57" s="2">
        <v>16627.400000000001</v>
      </c>
      <c r="CA57" s="12">
        <f t="shared" si="27"/>
        <v>49.811455789840863</v>
      </c>
      <c r="CB57" t="s">
        <v>73</v>
      </c>
      <c r="CF57" s="32"/>
      <c r="CG57" s="1"/>
      <c r="CN57" s="20">
        <v>733</v>
      </c>
      <c r="CO57" s="38"/>
      <c r="CP57" s="3">
        <v>13442</v>
      </c>
      <c r="CQ57" s="2">
        <v>0</v>
      </c>
      <c r="CR57" s="2">
        <v>15480.3</v>
      </c>
      <c r="CS57" s="7">
        <f t="shared" si="28"/>
        <v>50</v>
      </c>
      <c r="CT57" s="30" t="s">
        <v>92</v>
      </c>
      <c r="CW57" s="19">
        <v>747</v>
      </c>
      <c r="CX57" s="38"/>
      <c r="CY57" s="3">
        <v>16566.8</v>
      </c>
      <c r="CZ57" s="2">
        <v>1048.5</v>
      </c>
      <c r="DA57" s="2">
        <v>13948</v>
      </c>
      <c r="DB57" s="12">
        <f t="shared" si="29"/>
        <v>46.241396616002298</v>
      </c>
      <c r="DC57" s="30" t="s">
        <v>16</v>
      </c>
      <c r="DF57" s="19">
        <v>757</v>
      </c>
      <c r="DG57" s="38"/>
      <c r="DH57" s="13">
        <v>18113.099999999999</v>
      </c>
      <c r="DI57" s="11">
        <v>5574.4</v>
      </c>
      <c r="DJ57" s="11">
        <v>19934.400000000001</v>
      </c>
      <c r="DK57" s="12">
        <f t="shared" si="30"/>
        <v>36.018139497551971</v>
      </c>
      <c r="DL57" s="30" t="s">
        <v>82</v>
      </c>
      <c r="DS57" s="50"/>
    </row>
    <row r="58" spans="2:123" x14ac:dyDescent="0.3">
      <c r="B58" s="17">
        <v>616</v>
      </c>
      <c r="C58" s="43"/>
      <c r="D58" s="3">
        <v>4371.5</v>
      </c>
      <c r="E58" s="2">
        <v>13352.9</v>
      </c>
      <c r="F58" s="2">
        <v>16716.2</v>
      </c>
      <c r="G58" s="7">
        <v>10.3154</v>
      </c>
      <c r="H58" t="s">
        <v>17</v>
      </c>
      <c r="K58" s="17">
        <v>616</v>
      </c>
      <c r="L58" s="43"/>
      <c r="M58" s="3">
        <v>9847.2000000000007</v>
      </c>
      <c r="N58" s="2">
        <v>22933.5</v>
      </c>
      <c r="O58" s="2">
        <v>30887.1</v>
      </c>
      <c r="P58" s="7">
        <f t="shared" si="1"/>
        <v>12.875278028691589</v>
      </c>
      <c r="Q58" t="s">
        <v>17</v>
      </c>
      <c r="T58" s="20">
        <v>647</v>
      </c>
      <c r="U58" s="43"/>
      <c r="V58" s="3">
        <v>5583.9</v>
      </c>
      <c r="W58" s="2">
        <v>12374.3</v>
      </c>
      <c r="X58" s="2">
        <v>16831.3</v>
      </c>
      <c r="Y58" s="7">
        <f t="shared" si="2"/>
        <v>13.240213174264614</v>
      </c>
      <c r="Z58" t="s">
        <v>28</v>
      </c>
      <c r="AC58" s="20">
        <v>647</v>
      </c>
      <c r="AD58" s="43"/>
      <c r="AE58" s="3">
        <v>2426</v>
      </c>
      <c r="AF58" s="2">
        <v>13227.7</v>
      </c>
      <c r="AG58" s="2">
        <v>15249.3</v>
      </c>
      <c r="AH58" s="7">
        <f t="shared" si="4"/>
        <v>6.6285009803728645</v>
      </c>
      <c r="AI58" t="s">
        <v>28</v>
      </c>
      <c r="AL58" s="20">
        <v>656</v>
      </c>
      <c r="AM58" s="43"/>
      <c r="AN58" s="3">
        <v>131.5</v>
      </c>
      <c r="AO58" s="2">
        <v>18581.5</v>
      </c>
      <c r="AP58" s="2">
        <v>18902.900000000001</v>
      </c>
      <c r="AQ58" s="7">
        <f t="shared" si="31"/>
        <v>0.85013410640695719</v>
      </c>
      <c r="AR58" t="s">
        <v>38</v>
      </c>
      <c r="AU58" s="20">
        <v>669</v>
      </c>
      <c r="AV58" s="43"/>
      <c r="AW58" s="3">
        <v>115.5</v>
      </c>
      <c r="AX58" s="2">
        <v>16127.3</v>
      </c>
      <c r="AY58" s="2">
        <v>16474.400000000001</v>
      </c>
      <c r="AZ58" s="7">
        <f t="shared" si="32"/>
        <v>1.0534526295343143</v>
      </c>
      <c r="BA58" t="s">
        <v>47</v>
      </c>
      <c r="BD58" s="20">
        <v>682</v>
      </c>
      <c r="BE58" s="43"/>
      <c r="BF58" s="3">
        <v>20685</v>
      </c>
      <c r="BG58" s="2">
        <v>89.6</v>
      </c>
      <c r="BH58" s="2">
        <v>17556.5</v>
      </c>
      <c r="BI58" s="12">
        <f>((BH58-BG58)/(2*BH58))*100</f>
        <v>49.7448238544129</v>
      </c>
      <c r="BJ58" t="s">
        <v>59</v>
      </c>
      <c r="BM58" s="20">
        <v>695</v>
      </c>
      <c r="BN58" s="43"/>
      <c r="BO58" s="3">
        <v>10731.4</v>
      </c>
      <c r="BP58" s="2">
        <v>10719.2</v>
      </c>
      <c r="BQ58" s="2">
        <v>18492.8</v>
      </c>
      <c r="BR58" s="12">
        <f t="shared" si="7"/>
        <v>21.017909672953795</v>
      </c>
      <c r="BS58" s="25" t="s">
        <v>65</v>
      </c>
      <c r="BV58" s="20">
        <v>708</v>
      </c>
      <c r="BW58" s="43"/>
      <c r="BX58" s="3">
        <v>18523.7</v>
      </c>
      <c r="BY58" s="2">
        <v>17</v>
      </c>
      <c r="BZ58" s="2">
        <v>14983</v>
      </c>
      <c r="CA58" s="12">
        <f t="shared" si="27"/>
        <v>49.943269038243344</v>
      </c>
      <c r="CB58" s="25" t="s">
        <v>74</v>
      </c>
      <c r="CF58" s="32"/>
      <c r="CG58" s="1"/>
      <c r="CK58" s="25"/>
      <c r="CN58" s="20">
        <v>734</v>
      </c>
      <c r="CO58" s="38"/>
      <c r="CP58" s="3">
        <v>9442.5</v>
      </c>
      <c r="CQ58" s="2">
        <v>0</v>
      </c>
      <c r="CR58" s="2">
        <v>13030.9</v>
      </c>
      <c r="CS58" s="7">
        <f t="shared" si="28"/>
        <v>50</v>
      </c>
      <c r="CT58" s="31" t="s">
        <v>93</v>
      </c>
      <c r="CW58" s="20">
        <v>748</v>
      </c>
      <c r="CX58" s="38"/>
      <c r="CY58" s="3">
        <v>21514.2</v>
      </c>
      <c r="CZ58" s="2">
        <v>392.2</v>
      </c>
      <c r="DA58" s="2">
        <v>17648.400000000001</v>
      </c>
      <c r="DB58" s="12">
        <f t="shared" si="29"/>
        <v>48.888851113982</v>
      </c>
      <c r="DC58" s="30" t="s">
        <v>23</v>
      </c>
      <c r="DF58" s="20">
        <v>758</v>
      </c>
      <c r="DG58" s="38"/>
      <c r="DH58" s="13">
        <v>21464</v>
      </c>
      <c r="DI58" s="11">
        <v>802.2</v>
      </c>
      <c r="DJ58" s="11">
        <v>16802.099999999999</v>
      </c>
      <c r="DK58" s="12">
        <f t="shared" si="30"/>
        <v>47.612798400199971</v>
      </c>
      <c r="DL58" s="30" t="s">
        <v>44</v>
      </c>
      <c r="DS58" s="50"/>
    </row>
    <row r="59" spans="2:123" ht="15" thickBot="1" x14ac:dyDescent="0.35">
      <c r="B59" s="17">
        <v>617</v>
      </c>
      <c r="C59" s="43"/>
      <c r="D59" s="3">
        <v>215.8</v>
      </c>
      <c r="E59" s="2">
        <v>17492.7</v>
      </c>
      <c r="F59" s="2">
        <v>17795.2</v>
      </c>
      <c r="G59" s="7">
        <v>1.5487</v>
      </c>
      <c r="H59" t="s">
        <v>18</v>
      </c>
      <c r="K59" s="17">
        <v>617</v>
      </c>
      <c r="L59" s="43"/>
      <c r="M59" s="3">
        <v>1684</v>
      </c>
      <c r="N59" s="2">
        <v>16403.3</v>
      </c>
      <c r="O59" s="2">
        <v>17664.599999999999</v>
      </c>
      <c r="P59" s="7">
        <f t="shared" si="1"/>
        <v>3.5701346195215269</v>
      </c>
      <c r="Q59" t="s">
        <v>18</v>
      </c>
      <c r="T59" s="21">
        <v>648</v>
      </c>
      <c r="U59" s="44"/>
      <c r="V59" s="8">
        <v>9917.7000000000007</v>
      </c>
      <c r="W59" s="9">
        <v>8311.5</v>
      </c>
      <c r="X59" s="9">
        <v>17294.099999999999</v>
      </c>
      <c r="Y59" s="10">
        <f t="shared" si="2"/>
        <v>25.970128540947492</v>
      </c>
      <c r="Z59" t="s">
        <v>29</v>
      </c>
      <c r="AC59" s="21">
        <v>648</v>
      </c>
      <c r="AD59" s="44"/>
      <c r="AE59" s="8">
        <v>8857.5</v>
      </c>
      <c r="AF59" s="9">
        <v>7665.1</v>
      </c>
      <c r="AG59" s="9">
        <v>15734.7</v>
      </c>
      <c r="AH59" s="10">
        <f t="shared" si="4"/>
        <v>25.642687817371794</v>
      </c>
      <c r="AI59" t="s">
        <v>29</v>
      </c>
      <c r="AL59" s="20">
        <v>657</v>
      </c>
      <c r="AM59" s="43"/>
      <c r="AN59" s="3">
        <v>141.9</v>
      </c>
      <c r="AO59" s="2">
        <v>18161.900000000001</v>
      </c>
      <c r="AP59" s="2">
        <v>18440.900000000001</v>
      </c>
      <c r="AQ59" s="7">
        <f t="shared" si="31"/>
        <v>0.75647067117114664</v>
      </c>
      <c r="AR59" t="s">
        <v>39</v>
      </c>
      <c r="AU59" s="19">
        <v>670</v>
      </c>
      <c r="AV59" s="43"/>
      <c r="AW59" s="3">
        <v>139.4</v>
      </c>
      <c r="AX59" s="2">
        <v>16597.2</v>
      </c>
      <c r="AY59" s="2">
        <v>17007.7</v>
      </c>
      <c r="AZ59" s="7">
        <f t="shared" si="32"/>
        <v>1.2068063288980873</v>
      </c>
      <c r="BA59" t="s">
        <v>48</v>
      </c>
      <c r="BD59" s="19">
        <v>683</v>
      </c>
      <c r="BE59" s="43"/>
      <c r="BF59" s="3">
        <v>20861</v>
      </c>
      <c r="BG59" s="2">
        <v>57</v>
      </c>
      <c r="BH59" s="2">
        <v>18258.599999999999</v>
      </c>
      <c r="BI59" s="12">
        <f t="shared" si="3"/>
        <v>49.84390917156847</v>
      </c>
      <c r="BJ59" t="s">
        <v>60</v>
      </c>
      <c r="BM59" s="19">
        <v>696</v>
      </c>
      <c r="BN59" s="43"/>
      <c r="BO59" s="3">
        <v>1716.8</v>
      </c>
      <c r="BP59" s="2">
        <v>15869.7</v>
      </c>
      <c r="BQ59" s="2">
        <v>17116.900000000001</v>
      </c>
      <c r="BR59" s="12">
        <f t="shared" si="7"/>
        <v>3.6431830530060951</v>
      </c>
      <c r="BS59" t="s">
        <v>66</v>
      </c>
      <c r="BV59" s="19">
        <v>709</v>
      </c>
      <c r="BW59" s="43"/>
      <c r="BX59" s="3">
        <v>19574.3</v>
      </c>
      <c r="BY59" s="2">
        <v>29.8</v>
      </c>
      <c r="BZ59" s="2">
        <v>17151.400000000001</v>
      </c>
      <c r="CA59" s="12">
        <f t="shared" si="27"/>
        <v>49.913126625231762</v>
      </c>
      <c r="CB59" s="25" t="s">
        <v>75</v>
      </c>
      <c r="CF59" s="32"/>
      <c r="CG59" s="1"/>
      <c r="CN59" s="20">
        <v>735</v>
      </c>
      <c r="CO59" s="38"/>
      <c r="CP59" s="3">
        <v>19670.8</v>
      </c>
      <c r="CQ59" s="2">
        <v>0</v>
      </c>
      <c r="CR59" s="2">
        <v>15595.9</v>
      </c>
      <c r="CS59" s="7">
        <f t="shared" si="28"/>
        <v>50</v>
      </c>
      <c r="CT59" s="30" t="s">
        <v>94</v>
      </c>
      <c r="CW59" s="19">
        <v>749</v>
      </c>
      <c r="CX59" s="38"/>
      <c r="CY59" s="3">
        <v>17286.7</v>
      </c>
      <c r="CZ59" s="2">
        <v>36.700000000000003</v>
      </c>
      <c r="DA59" s="2">
        <v>12661.8</v>
      </c>
      <c r="DB59" s="12">
        <f t="shared" si="29"/>
        <v>49.855075897581699</v>
      </c>
      <c r="DC59" s="30" t="s">
        <v>21</v>
      </c>
      <c r="DF59" s="19">
        <v>759</v>
      </c>
      <c r="DG59" s="38"/>
      <c r="DH59" s="13">
        <v>21242</v>
      </c>
      <c r="DI59" s="11">
        <v>1855.1</v>
      </c>
      <c r="DJ59" s="11">
        <v>17931.3</v>
      </c>
      <c r="DK59" s="12">
        <f t="shared" si="30"/>
        <v>44.827201597207115</v>
      </c>
      <c r="DL59" s="30" t="s">
        <v>46</v>
      </c>
      <c r="DS59" s="50"/>
    </row>
    <row r="60" spans="2:123" ht="15" thickBot="1" x14ac:dyDescent="0.35">
      <c r="B60" s="18">
        <v>618</v>
      </c>
      <c r="C60" s="44"/>
      <c r="D60" s="8">
        <v>472</v>
      </c>
      <c r="E60" s="9">
        <v>16199</v>
      </c>
      <c r="F60" s="9">
        <v>16625.900000000001</v>
      </c>
      <c r="G60" s="10">
        <f t="shared" si="0"/>
        <v>1.283840273308517</v>
      </c>
      <c r="H60" t="s">
        <v>19</v>
      </c>
      <c r="K60" s="18">
        <v>618</v>
      </c>
      <c r="L60" s="44"/>
      <c r="M60" s="8">
        <v>555</v>
      </c>
      <c r="N60" s="9">
        <v>17812.400000000001</v>
      </c>
      <c r="O60" s="9">
        <v>18289.599999999999</v>
      </c>
      <c r="P60" s="10">
        <f t="shared" si="1"/>
        <v>1.3045665296124493</v>
      </c>
      <c r="Q60" t="s">
        <v>19</v>
      </c>
      <c r="AL60" s="20">
        <v>658</v>
      </c>
      <c r="AM60" s="43"/>
      <c r="AN60" s="2">
        <v>138.69999999999999</v>
      </c>
      <c r="AO60" s="2">
        <v>15948.8</v>
      </c>
      <c r="AP60" s="2">
        <v>16126.9</v>
      </c>
      <c r="AQ60" s="7">
        <f t="shared" si="31"/>
        <v>0.55218299859241504</v>
      </c>
      <c r="AR60" t="s">
        <v>40</v>
      </c>
      <c r="AU60" s="20">
        <v>671</v>
      </c>
      <c r="AV60" s="43"/>
      <c r="AW60" s="2">
        <v>173.1</v>
      </c>
      <c r="AX60" s="2">
        <v>17196.5</v>
      </c>
      <c r="AY60" s="2">
        <v>17646.900000000001</v>
      </c>
      <c r="AZ60" s="7">
        <f t="shared" si="32"/>
        <v>1.276144818636705</v>
      </c>
      <c r="BA60" t="s">
        <v>49</v>
      </c>
      <c r="BD60" s="20">
        <v>684</v>
      </c>
      <c r="BE60" s="43"/>
      <c r="BF60" s="2">
        <v>20122.7</v>
      </c>
      <c r="BG60" s="2">
        <v>118.9</v>
      </c>
      <c r="BH60" s="2">
        <v>17770.5</v>
      </c>
      <c r="BI60" s="12">
        <f t="shared" si="3"/>
        <v>49.665456796376013</v>
      </c>
      <c r="BJ60" t="s">
        <v>61</v>
      </c>
      <c r="BM60" s="20">
        <v>697</v>
      </c>
      <c r="BN60" s="43"/>
      <c r="BO60" s="2">
        <v>299.5</v>
      </c>
      <c r="BP60" s="2">
        <v>16320.4</v>
      </c>
      <c r="BQ60" s="2">
        <v>16644.099999999999</v>
      </c>
      <c r="BR60" s="12">
        <f t="shared" si="7"/>
        <v>0.97241665214700379</v>
      </c>
      <c r="BS60" t="s">
        <v>67</v>
      </c>
      <c r="BV60" s="20">
        <v>710</v>
      </c>
      <c r="BW60" s="43"/>
      <c r="BX60" s="2">
        <v>19950.3</v>
      </c>
      <c r="BY60" s="2">
        <v>54.9</v>
      </c>
      <c r="BZ60" s="2">
        <v>16785.5</v>
      </c>
      <c r="CA60" s="12">
        <f t="shared" si="27"/>
        <v>49.83646599743826</v>
      </c>
      <c r="CB60" s="25" t="s">
        <v>76</v>
      </c>
      <c r="CF60" s="32"/>
      <c r="CN60" s="20">
        <v>736</v>
      </c>
      <c r="CO60" s="38"/>
      <c r="CP60" s="2">
        <v>16785.099999999999</v>
      </c>
      <c r="CQ60" s="2">
        <v>0</v>
      </c>
      <c r="CR60" s="2">
        <v>12766.8</v>
      </c>
      <c r="CS60" s="7">
        <f t="shared" si="28"/>
        <v>50</v>
      </c>
      <c r="CT60" s="30" t="s">
        <v>95</v>
      </c>
      <c r="CW60" s="21">
        <v>750</v>
      </c>
      <c r="CX60" s="39"/>
      <c r="CY60" s="9">
        <v>20604.099999999999</v>
      </c>
      <c r="CZ60" s="9">
        <v>84</v>
      </c>
      <c r="DA60" s="9">
        <v>15847.1</v>
      </c>
      <c r="DB60" s="26">
        <f t="shared" si="29"/>
        <v>49.734967281079818</v>
      </c>
      <c r="DC60" s="30" t="s">
        <v>22</v>
      </c>
      <c r="DF60" s="52">
        <v>760</v>
      </c>
      <c r="DG60" s="38"/>
      <c r="DH60" s="36">
        <v>20103.8</v>
      </c>
      <c r="DI60" s="53">
        <v>2823.6</v>
      </c>
      <c r="DJ60" s="53">
        <v>17061.2</v>
      </c>
      <c r="DK60" s="56">
        <f t="shared" si="30"/>
        <v>41.725083815909784</v>
      </c>
      <c r="DL60" s="30" t="s">
        <v>45</v>
      </c>
      <c r="DS60" s="50"/>
    </row>
    <row r="61" spans="2:123" x14ac:dyDescent="0.3">
      <c r="AL61" s="20">
        <v>659</v>
      </c>
      <c r="AM61" s="43"/>
      <c r="AN61" s="2">
        <v>110.4</v>
      </c>
      <c r="AO61" s="2">
        <v>16337.9</v>
      </c>
      <c r="AP61" s="2">
        <v>16542.5</v>
      </c>
      <c r="AQ61" s="7">
        <f t="shared" si="31"/>
        <v>0.61840713314190832</v>
      </c>
      <c r="AR61" t="s">
        <v>41</v>
      </c>
      <c r="AU61" s="19">
        <v>672</v>
      </c>
      <c r="AV61" s="43"/>
      <c r="AW61" s="2">
        <v>8099.8</v>
      </c>
      <c r="AX61" s="2">
        <v>11209.7</v>
      </c>
      <c r="AY61" s="2">
        <v>16724.3</v>
      </c>
      <c r="AZ61" s="7">
        <f t="shared" si="32"/>
        <v>16.486788684728207</v>
      </c>
      <c r="BA61" t="s">
        <v>50</v>
      </c>
      <c r="BD61" s="19">
        <v>685</v>
      </c>
      <c r="BE61" s="43"/>
      <c r="BF61" s="2">
        <v>4731.8</v>
      </c>
      <c r="BG61" s="2">
        <v>13967.8</v>
      </c>
      <c r="BH61" s="2">
        <v>17109.599999999999</v>
      </c>
      <c r="BI61" s="12">
        <f t="shared" si="3"/>
        <v>9.1813952400991248</v>
      </c>
      <c r="BJ61" t="s">
        <v>53</v>
      </c>
      <c r="BM61" s="19">
        <v>698</v>
      </c>
      <c r="BN61" s="43"/>
      <c r="BO61" s="2">
        <v>263.5</v>
      </c>
      <c r="BP61" s="2">
        <v>17049.400000000001</v>
      </c>
      <c r="BQ61" s="2">
        <v>17394.900000000001</v>
      </c>
      <c r="BR61" s="12">
        <f t="shared" si="7"/>
        <v>0.99310717509154978</v>
      </c>
      <c r="BS61" s="25" t="s">
        <v>68</v>
      </c>
      <c r="BV61" s="19">
        <v>711</v>
      </c>
      <c r="BW61" s="43"/>
      <c r="BX61" s="2">
        <v>17425</v>
      </c>
      <c r="BY61" s="2">
        <v>4956.6000000000004</v>
      </c>
      <c r="BZ61" s="2">
        <v>18516.400000000001</v>
      </c>
      <c r="CA61" s="12">
        <f t="shared" si="27"/>
        <v>36.615648830226178</v>
      </c>
      <c r="CB61" s="25" t="s">
        <v>77</v>
      </c>
      <c r="CF61" s="32"/>
      <c r="CK61" s="25"/>
      <c r="CN61" s="20">
        <v>737</v>
      </c>
      <c r="CO61" s="38"/>
      <c r="CP61" s="2">
        <v>18172.5</v>
      </c>
      <c r="CQ61" s="2">
        <v>0</v>
      </c>
      <c r="CR61" s="2">
        <v>16682.2</v>
      </c>
      <c r="CS61" s="7">
        <f t="shared" si="28"/>
        <v>50</v>
      </c>
      <c r="CT61" s="31" t="s">
        <v>98</v>
      </c>
      <c r="CX61" s="32"/>
      <c r="DF61" s="48"/>
      <c r="DG61" s="55"/>
      <c r="DH61" s="49"/>
      <c r="DI61" s="48"/>
      <c r="DJ61" s="48"/>
      <c r="DK61" s="48"/>
      <c r="DS61" s="50"/>
    </row>
    <row r="62" spans="2:123" x14ac:dyDescent="0.3">
      <c r="AL62" s="20">
        <v>660</v>
      </c>
      <c r="AM62" s="43"/>
      <c r="AN62" s="2">
        <v>121</v>
      </c>
      <c r="AO62" s="2">
        <v>14813.3</v>
      </c>
      <c r="AP62" s="2">
        <v>14931.5</v>
      </c>
      <c r="AQ62" s="7">
        <f t="shared" si="31"/>
        <v>0.39580752101262673</v>
      </c>
      <c r="AR62" t="s">
        <v>43</v>
      </c>
      <c r="AU62" s="20">
        <v>673</v>
      </c>
      <c r="AV62" s="43"/>
      <c r="AW62" s="2">
        <v>1111.5</v>
      </c>
      <c r="AX62" s="2">
        <v>16461.5</v>
      </c>
      <c r="AY62" s="2">
        <v>17280.900000000001</v>
      </c>
      <c r="AZ62" s="7">
        <f t="shared" si="32"/>
        <v>2.3708255935744127</v>
      </c>
      <c r="BA62" t="s">
        <v>51</v>
      </c>
      <c r="BD62" s="20">
        <v>686</v>
      </c>
      <c r="BE62" s="43"/>
      <c r="BF62" s="2">
        <v>1067.5999999999999</v>
      </c>
      <c r="BG62" s="2">
        <v>17256.099999999999</v>
      </c>
      <c r="BH62" s="2">
        <v>17902.7</v>
      </c>
      <c r="BI62" s="12">
        <f t="shared" si="3"/>
        <v>1.8058728571668021</v>
      </c>
      <c r="BJ62" t="s">
        <v>54</v>
      </c>
      <c r="BM62" s="20">
        <v>699</v>
      </c>
      <c r="BN62" s="43"/>
      <c r="BO62" s="2"/>
      <c r="BP62" s="2"/>
      <c r="BQ62" s="2"/>
      <c r="BR62" s="12" t="e">
        <f t="shared" si="7"/>
        <v>#DIV/0!</v>
      </c>
      <c r="BS62" t="s">
        <v>69</v>
      </c>
      <c r="BV62" s="20">
        <v>712</v>
      </c>
      <c r="BW62" s="43"/>
      <c r="BX62" s="2">
        <v>5154.7</v>
      </c>
      <c r="BY62" s="2">
        <v>14693.7</v>
      </c>
      <c r="BZ62" s="2">
        <v>18196.7</v>
      </c>
      <c r="CA62" s="12">
        <f t="shared" si="27"/>
        <v>9.6253716333181298</v>
      </c>
      <c r="CB62" t="s">
        <v>78</v>
      </c>
      <c r="CF62" s="32"/>
      <c r="CN62" s="20">
        <v>738</v>
      </c>
      <c r="CO62" s="38"/>
      <c r="CP62" s="2">
        <v>14108.4</v>
      </c>
      <c r="CQ62" s="2">
        <v>0</v>
      </c>
      <c r="CR62" s="2">
        <v>12145</v>
      </c>
      <c r="CS62" s="7">
        <f t="shared" si="28"/>
        <v>50</v>
      </c>
      <c r="CT62" s="30" t="s">
        <v>97</v>
      </c>
      <c r="CX62" s="32"/>
      <c r="DF62" s="48"/>
      <c r="DG62" s="55"/>
      <c r="DH62" s="49"/>
      <c r="DI62" s="48"/>
      <c r="DJ62" s="48"/>
      <c r="DK62" s="48"/>
      <c r="DS62" s="50"/>
    </row>
    <row r="63" spans="2:123" ht="15" thickBot="1" x14ac:dyDescent="0.35">
      <c r="AL63" s="21">
        <v>661</v>
      </c>
      <c r="AM63" s="44"/>
      <c r="AN63" s="9">
        <v>111</v>
      </c>
      <c r="AO63" s="9">
        <v>13486</v>
      </c>
      <c r="AP63" s="9">
        <v>13546.8</v>
      </c>
      <c r="AQ63" s="10">
        <f t="shared" si="31"/>
        <v>0.22440724008621696</v>
      </c>
      <c r="AR63" t="s">
        <v>42</v>
      </c>
      <c r="AU63" s="24">
        <v>674</v>
      </c>
      <c r="AV63" s="44"/>
      <c r="AW63" s="9">
        <v>297.2</v>
      </c>
      <c r="AX63" s="9">
        <v>17421</v>
      </c>
      <c r="AY63" s="9">
        <v>17760.2</v>
      </c>
      <c r="AZ63" s="10">
        <f t="shared" si="32"/>
        <v>0.95494420107881861</v>
      </c>
      <c r="BA63" t="s">
        <v>52</v>
      </c>
      <c r="BD63" s="24">
        <v>687</v>
      </c>
      <c r="BE63" s="44"/>
      <c r="BF63" s="9">
        <v>738.5</v>
      </c>
      <c r="BG63" s="9">
        <v>17388.2</v>
      </c>
      <c r="BH63" s="9">
        <v>17740.5</v>
      </c>
      <c r="BI63" s="26">
        <f t="shared" si="3"/>
        <v>0.99292579126856428</v>
      </c>
      <c r="BJ63" t="s">
        <v>55</v>
      </c>
      <c r="BM63" s="24">
        <v>700</v>
      </c>
      <c r="BN63" s="44"/>
      <c r="BO63" s="9"/>
      <c r="BP63" s="9"/>
      <c r="BQ63" s="9"/>
      <c r="BR63" s="26" t="e">
        <f t="shared" si="7"/>
        <v>#DIV/0!</v>
      </c>
      <c r="BS63" t="s">
        <v>70</v>
      </c>
      <c r="BV63" s="24">
        <v>713</v>
      </c>
      <c r="BW63" s="44"/>
      <c r="BX63" s="9">
        <v>873.1</v>
      </c>
      <c r="BY63" s="9">
        <v>17503.3</v>
      </c>
      <c r="BZ63" s="9">
        <v>18200.900000000001</v>
      </c>
      <c r="CA63" s="26">
        <f t="shared" si="27"/>
        <v>1.9163887500068737</v>
      </c>
      <c r="CB63" t="s">
        <v>79</v>
      </c>
      <c r="CF63" s="32"/>
      <c r="CN63" s="20">
        <v>739</v>
      </c>
      <c r="CO63" s="38"/>
      <c r="CP63" s="2">
        <v>17099.7</v>
      </c>
      <c r="CQ63" s="2">
        <v>0</v>
      </c>
      <c r="CR63" s="2">
        <v>16015.4</v>
      </c>
      <c r="CS63" s="7">
        <f t="shared" si="28"/>
        <v>50</v>
      </c>
      <c r="CT63" s="30" t="s">
        <v>96</v>
      </c>
      <c r="CX63" s="32"/>
      <c r="DF63" s="48"/>
      <c r="DG63" s="55"/>
      <c r="DH63" s="49"/>
      <c r="DI63" s="48"/>
      <c r="DJ63" s="48"/>
      <c r="DK63" s="48"/>
      <c r="DS63" s="50"/>
    </row>
    <row r="64" spans="2:123" ht="15" thickBot="1" x14ac:dyDescent="0.35">
      <c r="CN64" s="21">
        <v>740</v>
      </c>
      <c r="CO64" s="39"/>
      <c r="CP64" s="9">
        <v>12988.2</v>
      </c>
      <c r="CQ64" s="9">
        <v>7105.2</v>
      </c>
      <c r="CR64" s="9">
        <v>17188.099999999999</v>
      </c>
      <c r="CS64" s="10">
        <f t="shared" si="28"/>
        <v>29.331048807023457</v>
      </c>
      <c r="CT64" s="30" t="s">
        <v>99</v>
      </c>
      <c r="DF64" s="48"/>
      <c r="DG64" s="48"/>
      <c r="DH64" s="49"/>
      <c r="DI64" s="48"/>
      <c r="DJ64" s="48"/>
      <c r="DK64" s="48"/>
      <c r="DS64" s="50"/>
    </row>
    <row r="65" spans="38:123" x14ac:dyDescent="0.3">
      <c r="DF65" s="48"/>
      <c r="DG65" s="48"/>
      <c r="DH65" s="49"/>
      <c r="DI65" s="48"/>
      <c r="DJ65" s="48"/>
      <c r="DK65" s="48"/>
      <c r="DS65" s="50"/>
    </row>
    <row r="66" spans="38:123" ht="15" thickBot="1" x14ac:dyDescent="0.35">
      <c r="DF66" s="48"/>
      <c r="DG66" s="48"/>
      <c r="DH66" s="49"/>
      <c r="DI66" s="48"/>
      <c r="DJ66" s="48"/>
      <c r="DK66" s="48"/>
      <c r="DS66" s="50"/>
    </row>
    <row r="67" spans="38:123" x14ac:dyDescent="0.3">
      <c r="AL67" s="22">
        <v>649</v>
      </c>
      <c r="AM67" s="42" t="s">
        <v>4</v>
      </c>
      <c r="AN67" s="4">
        <v>17462.8</v>
      </c>
      <c r="AO67" s="5">
        <v>68.099999999999994</v>
      </c>
      <c r="AP67" s="5">
        <v>16879.400000000001</v>
      </c>
      <c r="AQ67" s="6">
        <f>((AP67-AO67)/(2*AP67))*100</f>
        <v>49.79827482019504</v>
      </c>
      <c r="AR67" t="s">
        <v>10</v>
      </c>
      <c r="AV67" s="32"/>
      <c r="AW67" s="1"/>
      <c r="BE67" s="32"/>
      <c r="BF67" s="1"/>
      <c r="BN67" s="32"/>
      <c r="BO67" s="1"/>
      <c r="BW67" s="32"/>
      <c r="BX67" s="1"/>
      <c r="CF67" s="32"/>
      <c r="CG67" s="1"/>
      <c r="CO67" s="32"/>
      <c r="CP67" s="1"/>
      <c r="CW67" s="22">
        <v>741</v>
      </c>
      <c r="CX67" s="37" t="s">
        <v>104</v>
      </c>
      <c r="CY67" s="4">
        <v>18690.3</v>
      </c>
      <c r="CZ67" s="5">
        <v>1083.5</v>
      </c>
      <c r="DA67" s="5">
        <v>17616</v>
      </c>
      <c r="DB67" s="6">
        <f>((DA67-CZ67)/(2*DA67))*100</f>
        <v>46.924670753860127</v>
      </c>
      <c r="DC67" t="s">
        <v>10</v>
      </c>
      <c r="DF67" s="19">
        <v>751</v>
      </c>
      <c r="DG67" s="38" t="s">
        <v>104</v>
      </c>
      <c r="DH67" s="13">
        <v>21243.1</v>
      </c>
      <c r="DI67" s="11">
        <v>524.20000000000005</v>
      </c>
      <c r="DJ67" s="11">
        <v>17111.3</v>
      </c>
      <c r="DK67" s="12">
        <f>((DJ67-DI67)/(2*DJ67))*100</f>
        <v>48.468263662024505</v>
      </c>
      <c r="DL67" t="s">
        <v>10</v>
      </c>
      <c r="DS67" s="50"/>
    </row>
    <row r="68" spans="38:123" x14ac:dyDescent="0.3">
      <c r="AL68" s="20">
        <v>650</v>
      </c>
      <c r="AM68" s="43"/>
      <c r="AN68" s="3">
        <v>18298.8</v>
      </c>
      <c r="AO68" s="2">
        <v>242.5</v>
      </c>
      <c r="AP68" s="2">
        <v>16397.599999999999</v>
      </c>
      <c r="AQ68" s="7">
        <f t="shared" ref="AQ68:AQ79" si="33">((AP68-AO68)/(2*AP68))*100</f>
        <v>49.260562521344589</v>
      </c>
      <c r="AR68" t="s">
        <v>11</v>
      </c>
      <c r="AV68" s="32"/>
      <c r="AW68" s="1"/>
      <c r="BE68" s="32"/>
      <c r="BF68" s="1"/>
      <c r="BN68" s="32"/>
      <c r="BO68" s="1"/>
      <c r="BW68" s="32"/>
      <c r="BX68" s="1"/>
      <c r="CF68" s="32"/>
      <c r="CG68" s="1"/>
      <c r="CO68" s="32"/>
      <c r="CP68" s="1"/>
      <c r="CW68" s="20">
        <v>742</v>
      </c>
      <c r="CX68" s="38"/>
      <c r="CY68" s="3">
        <v>18534.8</v>
      </c>
      <c r="CZ68" s="2">
        <v>1714</v>
      </c>
      <c r="DA68" s="2">
        <v>15842.4</v>
      </c>
      <c r="DB68" s="12">
        <f>((DA68-CZ68)/(2*DA68))*100</f>
        <v>44.590466090996308</v>
      </c>
      <c r="DC68" s="30" t="s">
        <v>11</v>
      </c>
      <c r="DF68" s="20">
        <v>752</v>
      </c>
      <c r="DG68" s="38"/>
      <c r="DH68" s="13">
        <v>19727.099999999999</v>
      </c>
      <c r="DI68" s="11">
        <v>2790.5</v>
      </c>
      <c r="DJ68" s="11">
        <v>17638.599999999999</v>
      </c>
      <c r="DK68" s="12">
        <f>((DJ68-DI68)/(2*DJ68))*100</f>
        <v>42.089791706824805</v>
      </c>
      <c r="DL68" s="30" t="s">
        <v>11</v>
      </c>
      <c r="DS68" s="50"/>
    </row>
    <row r="69" spans="38:123" x14ac:dyDescent="0.3">
      <c r="AL69" s="20">
        <v>651</v>
      </c>
      <c r="AM69" s="43"/>
      <c r="AN69" s="3">
        <v>15196.9</v>
      </c>
      <c r="AO69" s="2">
        <v>5046.5</v>
      </c>
      <c r="AP69" s="2">
        <v>16601.5</v>
      </c>
      <c r="AQ69" s="7">
        <f t="shared" si="33"/>
        <v>34.801072192271782</v>
      </c>
      <c r="AR69" t="s">
        <v>12</v>
      </c>
      <c r="AV69" s="32"/>
      <c r="AW69" s="1"/>
      <c r="BE69" s="32"/>
      <c r="BF69" s="1"/>
      <c r="BN69" s="32"/>
      <c r="BO69" s="1"/>
      <c r="BW69" s="32"/>
      <c r="BX69" s="1"/>
      <c r="CF69" s="32"/>
      <c r="CG69" s="1"/>
      <c r="CO69" s="32"/>
      <c r="CP69" s="1"/>
      <c r="CW69" s="19">
        <v>743</v>
      </c>
      <c r="CX69" s="38"/>
      <c r="CY69" s="3">
        <v>10972</v>
      </c>
      <c r="CZ69" s="2">
        <v>7580.8</v>
      </c>
      <c r="DA69" s="2">
        <v>14789.2</v>
      </c>
      <c r="DB69" s="12">
        <f t="shared" ref="DB69:DB76" si="34">((DA69-CZ69)/(2*DA69))*100</f>
        <v>24.370486571281745</v>
      </c>
      <c r="DC69" s="30" t="s">
        <v>12</v>
      </c>
      <c r="DF69" s="19">
        <v>753</v>
      </c>
      <c r="DG69" s="38"/>
      <c r="DH69" s="13">
        <v>13111</v>
      </c>
      <c r="DI69" s="11">
        <v>8547</v>
      </c>
      <c r="DJ69" s="11">
        <v>16443.8</v>
      </c>
      <c r="DK69" s="12">
        <f t="shared" ref="DK69:DK76" si="35">((DJ69-DI69)/(2*DJ69))*100</f>
        <v>24.01148153103297</v>
      </c>
      <c r="DL69" s="30" t="s">
        <v>12</v>
      </c>
      <c r="DS69" s="50"/>
    </row>
    <row r="70" spans="38:123" x14ac:dyDescent="0.3">
      <c r="AL70" s="20">
        <v>652</v>
      </c>
      <c r="AM70" s="43"/>
      <c r="AN70" s="3">
        <v>4707.3</v>
      </c>
      <c r="AO70" s="2">
        <v>13657.7</v>
      </c>
      <c r="AP70" s="2">
        <v>16737.3</v>
      </c>
      <c r="AQ70" s="7">
        <f t="shared" si="33"/>
        <v>9.1998112001338281</v>
      </c>
      <c r="AR70" t="s">
        <v>13</v>
      </c>
      <c r="AV70" s="32"/>
      <c r="AW70" s="1"/>
      <c r="BE70" s="32"/>
      <c r="BF70" s="1"/>
      <c r="BN70" s="32"/>
      <c r="BO70" s="1"/>
      <c r="BW70" s="32"/>
      <c r="BX70" s="1"/>
      <c r="CF70" s="32"/>
      <c r="CG70" s="1"/>
      <c r="CO70" s="32"/>
      <c r="CP70" s="1"/>
      <c r="CW70" s="20">
        <v>744</v>
      </c>
      <c r="CX70" s="38"/>
      <c r="CY70" s="3">
        <v>4074.6</v>
      </c>
      <c r="CZ70" s="2">
        <v>15848.7</v>
      </c>
      <c r="DA70" s="2">
        <v>18232.599999999999</v>
      </c>
      <c r="DB70" s="12">
        <f t="shared" si="34"/>
        <v>6.5374658578589946</v>
      </c>
      <c r="DC70" s="30" t="s">
        <v>13</v>
      </c>
      <c r="DF70" s="20">
        <v>754</v>
      </c>
      <c r="DG70" s="38"/>
      <c r="DH70" s="13">
        <v>3326.1</v>
      </c>
      <c r="DI70" s="11">
        <v>15647.2</v>
      </c>
      <c r="DJ70" s="11">
        <v>17604.400000000001</v>
      </c>
      <c r="DK70" s="12">
        <f t="shared" si="35"/>
        <v>5.5588375633364402</v>
      </c>
      <c r="DL70" s="30" t="s">
        <v>13</v>
      </c>
      <c r="DS70" s="50"/>
    </row>
    <row r="71" spans="38:123" x14ac:dyDescent="0.3">
      <c r="AL71" s="20">
        <v>653</v>
      </c>
      <c r="AM71" s="43"/>
      <c r="AN71" s="3">
        <v>104.4</v>
      </c>
      <c r="AO71" s="2">
        <v>16664.7</v>
      </c>
      <c r="AP71" s="2">
        <v>16869.400000000001</v>
      </c>
      <c r="AQ71" s="7">
        <f t="shared" si="33"/>
        <v>0.60671985962749331</v>
      </c>
      <c r="AR71" t="s">
        <v>35</v>
      </c>
      <c r="AV71" s="32"/>
      <c r="AW71" s="1"/>
      <c r="BE71" s="32"/>
      <c r="BF71" s="1"/>
      <c r="BJ71" s="25"/>
      <c r="BN71" s="32"/>
      <c r="BO71" s="1"/>
      <c r="BS71" s="25"/>
      <c r="BW71" s="32"/>
      <c r="BX71" s="1"/>
      <c r="CB71" s="25"/>
      <c r="CF71" s="32"/>
      <c r="CG71" s="1"/>
      <c r="CK71" s="25"/>
      <c r="CO71" s="32"/>
      <c r="CP71" s="1"/>
      <c r="CT71" s="25"/>
      <c r="CW71" s="19">
        <v>745</v>
      </c>
      <c r="CX71" s="38"/>
      <c r="CY71" s="3">
        <v>18890.5</v>
      </c>
      <c r="CZ71" s="2">
        <v>159.19999999999999</v>
      </c>
      <c r="DA71" s="2">
        <v>15722.9</v>
      </c>
      <c r="DB71" s="12">
        <f t="shared" si="34"/>
        <v>49.493732072327624</v>
      </c>
      <c r="DC71" s="30" t="s">
        <v>14</v>
      </c>
      <c r="DF71" s="19">
        <v>755</v>
      </c>
      <c r="DG71" s="38"/>
      <c r="DH71" s="13">
        <v>21237.7</v>
      </c>
      <c r="DI71" s="11">
        <v>470</v>
      </c>
      <c r="DJ71" s="11">
        <v>15743.5</v>
      </c>
      <c r="DK71" s="12">
        <f t="shared" si="35"/>
        <v>48.50732048146854</v>
      </c>
      <c r="DL71" s="30" t="s">
        <v>80</v>
      </c>
      <c r="DS71" s="50"/>
    </row>
    <row r="72" spans="38:123" x14ac:dyDescent="0.3">
      <c r="AL72" s="20">
        <v>654</v>
      </c>
      <c r="AM72" s="43"/>
      <c r="AN72" s="3">
        <v>117.7</v>
      </c>
      <c r="AO72" s="2">
        <v>16245.8</v>
      </c>
      <c r="AP72" s="2">
        <v>16439.3</v>
      </c>
      <c r="AQ72" s="7">
        <f t="shared" si="33"/>
        <v>0.58852870864331208</v>
      </c>
      <c r="AR72" t="s">
        <v>36</v>
      </c>
      <c r="AV72" s="32"/>
      <c r="AW72" s="1"/>
      <c r="BE72" s="32"/>
      <c r="BF72" s="1"/>
      <c r="BN72" s="32"/>
      <c r="BO72" s="1"/>
      <c r="BW72" s="32"/>
      <c r="BX72" s="1"/>
      <c r="CF72" s="32"/>
      <c r="CG72" s="1"/>
      <c r="CO72" s="32"/>
      <c r="CP72" s="1"/>
      <c r="CW72" s="20">
        <v>746</v>
      </c>
      <c r="CX72" s="38"/>
      <c r="CY72" s="3">
        <v>19185.5</v>
      </c>
      <c r="CZ72" s="2">
        <v>576.6</v>
      </c>
      <c r="DA72" s="2">
        <v>17430.3</v>
      </c>
      <c r="DB72" s="12">
        <f t="shared" si="34"/>
        <v>48.345983718008299</v>
      </c>
      <c r="DC72" s="30" t="s">
        <v>15</v>
      </c>
      <c r="DF72" s="20">
        <v>756</v>
      </c>
      <c r="DG72" s="38"/>
      <c r="DH72" s="13">
        <v>20922.5</v>
      </c>
      <c r="DI72" s="11">
        <v>1698.3</v>
      </c>
      <c r="DJ72" s="11">
        <v>17388</v>
      </c>
      <c r="DK72" s="12">
        <f t="shared" si="35"/>
        <v>45.116459627329199</v>
      </c>
      <c r="DL72" s="30" t="s">
        <v>81</v>
      </c>
      <c r="DS72" s="50"/>
    </row>
    <row r="73" spans="38:123" x14ac:dyDescent="0.3">
      <c r="AL73" s="20">
        <v>655</v>
      </c>
      <c r="AM73" s="43"/>
      <c r="AN73" s="3">
        <v>106.9</v>
      </c>
      <c r="AO73" s="2">
        <v>16446.099999999999</v>
      </c>
      <c r="AP73" s="2">
        <v>16686.7</v>
      </c>
      <c r="AQ73" s="7">
        <f t="shared" si="33"/>
        <v>0.72093343800752152</v>
      </c>
      <c r="AR73" t="s">
        <v>37</v>
      </c>
      <c r="AV73" s="32"/>
      <c r="AW73" s="1"/>
      <c r="BE73" s="32"/>
      <c r="BF73" s="1"/>
      <c r="BN73" s="32"/>
      <c r="BO73" s="1"/>
      <c r="BW73" s="32"/>
      <c r="BX73" s="1"/>
      <c r="CF73" s="32"/>
      <c r="CG73" s="1"/>
      <c r="CO73" s="32"/>
      <c r="CP73" s="1"/>
      <c r="CW73" s="19">
        <v>747</v>
      </c>
      <c r="CX73" s="38"/>
      <c r="CY73" s="3">
        <v>20565.599999999999</v>
      </c>
      <c r="CZ73" s="2">
        <v>1322.1</v>
      </c>
      <c r="DA73" s="2">
        <v>19008.3</v>
      </c>
      <c r="DB73" s="12">
        <f t="shared" si="34"/>
        <v>46.522308675683782</v>
      </c>
      <c r="DC73" s="30" t="s">
        <v>16</v>
      </c>
      <c r="DF73" s="19">
        <v>757</v>
      </c>
      <c r="DG73" s="38"/>
      <c r="DH73" s="13">
        <v>17841</v>
      </c>
      <c r="DI73" s="11">
        <v>5065.5</v>
      </c>
      <c r="DJ73" s="11">
        <v>18671.099999999999</v>
      </c>
      <c r="DK73" s="12">
        <f t="shared" si="35"/>
        <v>36.434918135514245</v>
      </c>
      <c r="DL73" s="30" t="s">
        <v>82</v>
      </c>
      <c r="DS73" s="50"/>
    </row>
    <row r="74" spans="38:123" x14ac:dyDescent="0.3">
      <c r="AL74" s="20">
        <v>656</v>
      </c>
      <c r="AM74" s="43"/>
      <c r="AN74" s="3">
        <v>95.4</v>
      </c>
      <c r="AO74" s="2">
        <v>16316.6</v>
      </c>
      <c r="AP74" s="2">
        <v>16494.400000000001</v>
      </c>
      <c r="AQ74" s="7">
        <f t="shared" si="33"/>
        <v>0.53897080221166294</v>
      </c>
      <c r="AR74" t="s">
        <v>38</v>
      </c>
      <c r="AV74" s="32"/>
      <c r="AW74" s="1"/>
      <c r="BE74" s="32"/>
      <c r="BF74" s="1"/>
      <c r="BN74" s="32"/>
      <c r="BO74" s="1"/>
      <c r="BS74" s="25"/>
      <c r="BW74" s="32"/>
      <c r="BX74" s="1"/>
      <c r="CB74" s="25"/>
      <c r="CF74" s="32"/>
      <c r="CG74" s="1"/>
      <c r="CK74" s="25"/>
      <c r="CO74" s="32"/>
      <c r="CP74" s="1"/>
      <c r="CT74" s="25"/>
      <c r="CW74" s="20">
        <v>748</v>
      </c>
      <c r="CX74" s="38"/>
      <c r="CY74" s="3">
        <v>16739.2</v>
      </c>
      <c r="CZ74" s="2">
        <v>429.6</v>
      </c>
      <c r="DA74" s="2">
        <v>12626.9</v>
      </c>
      <c r="DB74" s="12">
        <f t="shared" si="34"/>
        <v>48.298869873048808</v>
      </c>
      <c r="DC74" s="30" t="s">
        <v>23</v>
      </c>
      <c r="DF74" s="20">
        <v>758</v>
      </c>
      <c r="DG74" s="38"/>
      <c r="DH74" s="13">
        <v>21691.8</v>
      </c>
      <c r="DI74" s="11">
        <v>549.4</v>
      </c>
      <c r="DJ74" s="11">
        <v>17008.7</v>
      </c>
      <c r="DK74" s="12">
        <f t="shared" si="35"/>
        <v>48.384944175627766</v>
      </c>
      <c r="DL74" s="30" t="s">
        <v>44</v>
      </c>
      <c r="DS74" s="50"/>
    </row>
    <row r="75" spans="38:123" x14ac:dyDescent="0.3">
      <c r="AL75" s="20">
        <v>657</v>
      </c>
      <c r="AM75" s="43"/>
      <c r="AN75" s="3">
        <v>120.4</v>
      </c>
      <c r="AO75" s="2">
        <v>16412.5</v>
      </c>
      <c r="AP75" s="2">
        <v>16637.599999999999</v>
      </c>
      <c r="AQ75" s="7">
        <f t="shared" si="33"/>
        <v>0.67647978073760207</v>
      </c>
      <c r="AR75" t="s">
        <v>39</v>
      </c>
      <c r="AV75" s="32"/>
      <c r="AW75" s="1"/>
      <c r="BE75" s="32"/>
      <c r="BF75" s="1"/>
      <c r="BN75" s="32"/>
      <c r="BO75" s="1"/>
      <c r="BW75" s="32"/>
      <c r="BX75" s="1"/>
      <c r="CB75" s="25"/>
      <c r="CF75" s="32"/>
      <c r="CG75" s="1"/>
      <c r="CO75" s="32"/>
      <c r="CP75" s="1"/>
      <c r="CW75" s="19">
        <v>749</v>
      </c>
      <c r="CX75" s="38"/>
      <c r="CY75" s="3">
        <v>18647.8</v>
      </c>
      <c r="CZ75" s="2">
        <v>53.8</v>
      </c>
      <c r="DA75" s="2">
        <v>13984.3</v>
      </c>
      <c r="DB75" s="12">
        <f t="shared" si="34"/>
        <v>49.807641426456819</v>
      </c>
      <c r="DC75" s="30" t="s">
        <v>21</v>
      </c>
      <c r="DF75" s="19">
        <v>759</v>
      </c>
      <c r="DG75" s="38"/>
      <c r="DH75" s="13">
        <v>21512.400000000001</v>
      </c>
      <c r="DI75" s="11">
        <v>1166.0999999999999</v>
      </c>
      <c r="DJ75" s="11">
        <v>17196.7</v>
      </c>
      <c r="DK75" s="12">
        <f t="shared" si="35"/>
        <v>46.609523920287032</v>
      </c>
      <c r="DL75" s="30" t="s">
        <v>46</v>
      </c>
      <c r="DS75" s="50"/>
    </row>
    <row r="76" spans="38:123" ht="15" thickBot="1" x14ac:dyDescent="0.35">
      <c r="AL76" s="20">
        <v>658</v>
      </c>
      <c r="AM76" s="43"/>
      <c r="AN76" s="2">
        <v>135.6</v>
      </c>
      <c r="AO76" s="2">
        <v>15958.8</v>
      </c>
      <c r="AP76" s="2">
        <v>16132.6</v>
      </c>
      <c r="AQ76" s="7">
        <f t="shared" si="33"/>
        <v>0.53866084822037696</v>
      </c>
      <c r="AR76" t="s">
        <v>40</v>
      </c>
      <c r="AV76" s="32"/>
      <c r="BE76" s="32"/>
      <c r="BN76" s="32"/>
      <c r="BW76" s="32"/>
      <c r="CB76" s="25"/>
      <c r="CF76" s="32"/>
      <c r="CO76" s="32"/>
      <c r="CW76" s="21">
        <v>750</v>
      </c>
      <c r="CX76" s="39"/>
      <c r="CY76" s="9">
        <v>20467.2</v>
      </c>
      <c r="CZ76" s="9">
        <v>38.4</v>
      </c>
      <c r="DA76" s="9">
        <v>15631</v>
      </c>
      <c r="DB76" s="26">
        <f t="shared" si="34"/>
        <v>49.877167167807563</v>
      </c>
      <c r="DC76" s="30" t="s">
        <v>22</v>
      </c>
      <c r="DF76" s="52">
        <v>760</v>
      </c>
      <c r="DG76" s="38"/>
      <c r="DH76" s="36">
        <v>20528.7</v>
      </c>
      <c r="DI76" s="53">
        <v>1953.3</v>
      </c>
      <c r="DJ76" s="53">
        <v>16630.2</v>
      </c>
      <c r="DK76" s="56">
        <f t="shared" si="35"/>
        <v>44.127250423927556</v>
      </c>
      <c r="DL76" s="30" t="s">
        <v>45</v>
      </c>
      <c r="DS76" s="50"/>
    </row>
    <row r="77" spans="38:123" x14ac:dyDescent="0.3">
      <c r="AL77" s="20">
        <v>659</v>
      </c>
      <c r="AM77" s="43"/>
      <c r="AN77" s="2">
        <v>83.9</v>
      </c>
      <c r="AO77" s="2">
        <v>16055.9</v>
      </c>
      <c r="AP77" s="2">
        <v>16230.1</v>
      </c>
      <c r="AQ77" s="7">
        <f t="shared" si="33"/>
        <v>0.53665719866174799</v>
      </c>
      <c r="AR77" t="s">
        <v>41</v>
      </c>
      <c r="AV77" s="32"/>
      <c r="BE77" s="32"/>
      <c r="BN77" s="32"/>
      <c r="BS77" s="25"/>
      <c r="BW77" s="32"/>
      <c r="CB77" s="25"/>
      <c r="CF77" s="32"/>
      <c r="CK77" s="25"/>
      <c r="CO77" s="32"/>
      <c r="CT77" s="25"/>
      <c r="CX77" s="32"/>
      <c r="DF77" s="48"/>
      <c r="DG77" s="55"/>
      <c r="DH77" s="49"/>
      <c r="DI77" s="48"/>
      <c r="DJ77" s="48"/>
      <c r="DK77" s="48"/>
      <c r="DS77" s="50"/>
    </row>
    <row r="78" spans="38:123" x14ac:dyDescent="0.3">
      <c r="AL78" s="20">
        <v>660</v>
      </c>
      <c r="AM78" s="43"/>
      <c r="AN78" s="2">
        <v>86.4</v>
      </c>
      <c r="AO78" s="2">
        <v>15010.2</v>
      </c>
      <c r="AP78" s="2">
        <v>15135</v>
      </c>
      <c r="AQ78" s="7">
        <f t="shared" si="33"/>
        <v>0.41228939544102833</v>
      </c>
      <c r="AR78" t="s">
        <v>43</v>
      </c>
      <c r="AV78" s="32"/>
      <c r="BE78" s="32"/>
      <c r="BN78" s="32"/>
      <c r="BW78" s="32"/>
      <c r="CF78" s="32"/>
      <c r="CO78" s="32"/>
      <c r="CX78" s="32"/>
      <c r="DF78" s="48"/>
      <c r="DG78" s="55"/>
      <c r="DH78" s="49"/>
      <c r="DI78" s="48"/>
      <c r="DJ78" s="48"/>
      <c r="DK78" s="48"/>
      <c r="DS78" s="50"/>
    </row>
    <row r="79" spans="38:123" ht="15" thickBot="1" x14ac:dyDescent="0.35">
      <c r="AL79" s="21">
        <v>661</v>
      </c>
      <c r="AM79" s="44"/>
      <c r="AN79" s="9">
        <v>104.5</v>
      </c>
      <c r="AO79" s="9">
        <v>18870.8</v>
      </c>
      <c r="AP79" s="9">
        <v>19083.900000000001</v>
      </c>
      <c r="AQ79" s="10">
        <f t="shared" si="33"/>
        <v>0.55832403229948324</v>
      </c>
      <c r="AR79" t="s">
        <v>42</v>
      </c>
      <c r="AV79" s="32"/>
      <c r="BE79" s="32"/>
      <c r="BN79" s="32"/>
      <c r="BW79" s="32"/>
      <c r="CF79" s="32"/>
      <c r="CO79" s="32"/>
      <c r="CX79" s="32"/>
      <c r="DF79" s="48"/>
      <c r="DG79" s="55"/>
      <c r="DH79" s="49"/>
      <c r="DI79" s="48"/>
      <c r="DJ79" s="48"/>
      <c r="DK79" s="48"/>
      <c r="DS79" s="50"/>
    </row>
    <row r="80" spans="38:123" x14ac:dyDescent="0.3">
      <c r="DF80" s="48"/>
      <c r="DG80" s="48"/>
      <c r="DH80" s="49"/>
      <c r="DI80" s="48"/>
      <c r="DJ80" s="48"/>
      <c r="DK80" s="48"/>
      <c r="DS80" s="50"/>
    </row>
    <row r="81" spans="101:123" x14ac:dyDescent="0.3">
      <c r="DF81" s="48"/>
      <c r="DG81" s="48"/>
      <c r="DH81" s="49"/>
      <c r="DI81" s="48"/>
      <c r="DJ81" s="48"/>
      <c r="DK81" s="48"/>
      <c r="DS81" s="50"/>
    </row>
    <row r="82" spans="101:123" ht="15" thickBot="1" x14ac:dyDescent="0.35">
      <c r="DF82" s="48"/>
      <c r="DG82" s="48"/>
      <c r="DH82" s="49"/>
      <c r="DI82" s="48"/>
      <c r="DJ82" s="48"/>
      <c r="DK82" s="48"/>
      <c r="DS82" s="50"/>
    </row>
    <row r="83" spans="101:123" x14ac:dyDescent="0.3">
      <c r="CW83" s="22">
        <v>741</v>
      </c>
      <c r="CX83" s="37" t="s">
        <v>105</v>
      </c>
      <c r="CY83" s="4">
        <v>17847.5</v>
      </c>
      <c r="CZ83" s="5">
        <v>834.2</v>
      </c>
      <c r="DA83" s="5">
        <v>16103</v>
      </c>
      <c r="DB83" s="6">
        <f t="shared" ref="DB83:DB92" si="36">((DA83-CZ83)/(2*DA83))*100</f>
        <v>47.409799416257833</v>
      </c>
      <c r="DC83" t="s">
        <v>10</v>
      </c>
      <c r="DF83" s="19">
        <v>751</v>
      </c>
      <c r="DG83" s="38" t="s">
        <v>105</v>
      </c>
      <c r="DH83" s="13">
        <v>20307.900000000001</v>
      </c>
      <c r="DI83" s="11">
        <v>346.2</v>
      </c>
      <c r="DJ83" s="11">
        <v>17259.2</v>
      </c>
      <c r="DK83" s="12">
        <f t="shared" ref="DK83:DK92" si="37">((DJ83-DI83)/(2*DJ83))*100</f>
        <v>48.997056642254563</v>
      </c>
      <c r="DL83" t="s">
        <v>10</v>
      </c>
      <c r="DS83" s="50"/>
    </row>
    <row r="84" spans="101:123" x14ac:dyDescent="0.3">
      <c r="CW84" s="20">
        <v>742</v>
      </c>
      <c r="CX84" s="38"/>
      <c r="CY84" s="3">
        <v>18948</v>
      </c>
      <c r="CZ84" s="2">
        <v>1115.5999999999999</v>
      </c>
      <c r="DA84" s="2">
        <v>17223.099999999999</v>
      </c>
      <c r="DB84" s="12">
        <f t="shared" si="36"/>
        <v>46.761326358204968</v>
      </c>
      <c r="DC84" s="30" t="s">
        <v>11</v>
      </c>
      <c r="DF84" s="20">
        <v>752</v>
      </c>
      <c r="DG84" s="38"/>
      <c r="DH84" s="13">
        <v>17832.7</v>
      </c>
      <c r="DI84" s="11">
        <v>2087.6</v>
      </c>
      <c r="DJ84" s="11">
        <v>15488.3</v>
      </c>
      <c r="DK84" s="12">
        <f t="shared" si="37"/>
        <v>43.260719381726851</v>
      </c>
      <c r="DL84" s="30" t="s">
        <v>11</v>
      </c>
      <c r="DS84" s="50"/>
    </row>
    <row r="85" spans="101:123" x14ac:dyDescent="0.3">
      <c r="CW85" s="19">
        <v>743</v>
      </c>
      <c r="CX85" s="38"/>
      <c r="CY85" s="3">
        <v>10562</v>
      </c>
      <c r="CZ85" s="2">
        <v>7462.5</v>
      </c>
      <c r="DA85" s="2">
        <v>14986.2</v>
      </c>
      <c r="DB85" s="12">
        <f t="shared" si="36"/>
        <v>25.102093926412302</v>
      </c>
      <c r="DC85" s="30" t="s">
        <v>12</v>
      </c>
      <c r="DF85" s="19">
        <v>753</v>
      </c>
      <c r="DG85" s="38"/>
      <c r="DH85" s="13">
        <v>10521.3</v>
      </c>
      <c r="DI85" s="11">
        <v>7934.7</v>
      </c>
      <c r="DJ85" s="11">
        <v>15760.9</v>
      </c>
      <c r="DK85" s="12">
        <f t="shared" si="37"/>
        <v>24.82789688406119</v>
      </c>
      <c r="DL85" s="30" t="s">
        <v>12</v>
      </c>
      <c r="DS85" s="50"/>
    </row>
    <row r="86" spans="101:123" x14ac:dyDescent="0.3">
      <c r="CW86" s="20">
        <v>744</v>
      </c>
      <c r="CX86" s="38"/>
      <c r="CY86" s="3">
        <v>3986.5</v>
      </c>
      <c r="CZ86" s="2">
        <v>15125.1</v>
      </c>
      <c r="DA86" s="2">
        <v>17562.5</v>
      </c>
      <c r="DB86" s="12">
        <f t="shared" si="36"/>
        <v>6.9392170818505319</v>
      </c>
      <c r="DC86" s="30" t="s">
        <v>13</v>
      </c>
      <c r="DF86" s="20">
        <v>754</v>
      </c>
      <c r="DG86" s="38"/>
      <c r="DH86" s="13">
        <v>3074.9</v>
      </c>
      <c r="DI86" s="11">
        <v>14346</v>
      </c>
      <c r="DJ86" s="11">
        <v>16139.7</v>
      </c>
      <c r="DK86" s="12">
        <f t="shared" si="37"/>
        <v>5.5567947359616374</v>
      </c>
      <c r="DL86" s="30" t="s">
        <v>13</v>
      </c>
      <c r="DS86" s="50"/>
    </row>
    <row r="87" spans="101:123" x14ac:dyDescent="0.3">
      <c r="CW87" s="19">
        <v>745</v>
      </c>
      <c r="CX87" s="38"/>
      <c r="CY87" s="3">
        <v>10458.5</v>
      </c>
      <c r="CZ87" s="2">
        <v>162.19999999999999</v>
      </c>
      <c r="DA87" s="2">
        <v>15800.2</v>
      </c>
      <c r="DB87" s="12">
        <f t="shared" si="36"/>
        <v>49.486715358033436</v>
      </c>
      <c r="DC87" s="30" t="s">
        <v>14</v>
      </c>
      <c r="DF87" s="19">
        <v>755</v>
      </c>
      <c r="DG87" s="38"/>
      <c r="DH87" s="13">
        <v>19552.599999999999</v>
      </c>
      <c r="DI87" s="11">
        <v>348.3</v>
      </c>
      <c r="DJ87" s="11">
        <v>15244.2</v>
      </c>
      <c r="DK87" s="12">
        <f t="shared" si="37"/>
        <v>48.857598299681193</v>
      </c>
      <c r="DL87" s="30" t="s">
        <v>80</v>
      </c>
      <c r="DS87" s="50"/>
    </row>
    <row r="88" spans="101:123" x14ac:dyDescent="0.3">
      <c r="CW88" s="20">
        <v>746</v>
      </c>
      <c r="CX88" s="38"/>
      <c r="CY88" s="3">
        <v>10932.9</v>
      </c>
      <c r="CZ88" s="2">
        <v>607.5</v>
      </c>
      <c r="DA88" s="2">
        <v>7414.2</v>
      </c>
      <c r="DB88" s="12">
        <f t="shared" si="36"/>
        <v>45.903131828113622</v>
      </c>
      <c r="DC88" s="30" t="s">
        <v>15</v>
      </c>
      <c r="DF88" s="20">
        <v>756</v>
      </c>
      <c r="DG88" s="38"/>
      <c r="DH88" s="13">
        <v>21312.3</v>
      </c>
      <c r="DI88" s="11">
        <v>1687.9</v>
      </c>
      <c r="DJ88" s="11">
        <v>18360</v>
      </c>
      <c r="DK88" s="12">
        <f t="shared" si="37"/>
        <v>45.403322440087138</v>
      </c>
      <c r="DL88" s="30" t="s">
        <v>81</v>
      </c>
      <c r="DS88" s="50"/>
    </row>
    <row r="89" spans="101:123" x14ac:dyDescent="0.3">
      <c r="CW89" s="19">
        <v>747</v>
      </c>
      <c r="CX89" s="38"/>
      <c r="CY89" s="3">
        <v>10818.5</v>
      </c>
      <c r="CZ89" s="2">
        <v>600.29999999999995</v>
      </c>
      <c r="DA89" s="2">
        <v>8401.2000000000007</v>
      </c>
      <c r="DB89" s="12">
        <f t="shared" si="36"/>
        <v>46.427296100557065</v>
      </c>
      <c r="DC89" s="30" t="s">
        <v>16</v>
      </c>
      <c r="DF89" s="19">
        <v>757</v>
      </c>
      <c r="DG89" s="38"/>
      <c r="DH89" s="13">
        <v>18635.900000000001</v>
      </c>
      <c r="DI89" s="11">
        <v>3855.7</v>
      </c>
      <c r="DJ89" s="11">
        <v>14279.9</v>
      </c>
      <c r="DK89" s="12">
        <f t="shared" si="37"/>
        <v>36.499555319014846</v>
      </c>
      <c r="DL89" s="30" t="s">
        <v>82</v>
      </c>
      <c r="DS89" s="50"/>
    </row>
    <row r="90" spans="101:123" x14ac:dyDescent="0.3">
      <c r="CW90" s="20">
        <v>748</v>
      </c>
      <c r="CX90" s="38"/>
      <c r="CY90" s="3">
        <v>12371.6</v>
      </c>
      <c r="CZ90" s="2">
        <v>167.1</v>
      </c>
      <c r="DA90" s="2">
        <v>8169.5</v>
      </c>
      <c r="DB90" s="12">
        <f t="shared" si="36"/>
        <v>48.977293592019095</v>
      </c>
      <c r="DC90" s="30" t="s">
        <v>23</v>
      </c>
      <c r="DF90" s="20">
        <v>758</v>
      </c>
      <c r="DG90" s="38"/>
      <c r="DH90" s="13">
        <v>21703.5</v>
      </c>
      <c r="DI90" s="11">
        <v>398.6</v>
      </c>
      <c r="DJ90" s="11">
        <v>16596.2</v>
      </c>
      <c r="DK90" s="12">
        <f t="shared" si="37"/>
        <v>48.799122690736432</v>
      </c>
      <c r="DL90" s="30" t="s">
        <v>44</v>
      </c>
      <c r="DS90" s="50"/>
    </row>
    <row r="91" spans="101:123" x14ac:dyDescent="0.3">
      <c r="CW91" s="19">
        <v>749</v>
      </c>
      <c r="CX91" s="38"/>
      <c r="CY91" s="3">
        <v>13778</v>
      </c>
      <c r="CZ91" s="2">
        <v>35.9</v>
      </c>
      <c r="DA91" s="2">
        <v>8591.4</v>
      </c>
      <c r="DB91" s="12">
        <f t="shared" si="36"/>
        <v>49.791070139907347</v>
      </c>
      <c r="DC91" s="30" t="s">
        <v>21</v>
      </c>
      <c r="DF91" s="19">
        <v>759</v>
      </c>
      <c r="DG91" s="38"/>
      <c r="DH91" s="13">
        <v>21059.1</v>
      </c>
      <c r="DI91" s="11">
        <v>959.5</v>
      </c>
      <c r="DJ91" s="11">
        <v>17067.099999999999</v>
      </c>
      <c r="DK91" s="12">
        <f t="shared" si="37"/>
        <v>47.189036215877337</v>
      </c>
      <c r="DL91" s="30" t="s">
        <v>46</v>
      </c>
      <c r="DS91" s="50"/>
    </row>
    <row r="92" spans="101:123" ht="15" thickBot="1" x14ac:dyDescent="0.35">
      <c r="CW92" s="21">
        <v>750</v>
      </c>
      <c r="CX92" s="39"/>
      <c r="CY92" s="9">
        <v>9323.9</v>
      </c>
      <c r="CZ92" s="9">
        <v>32.299999999999997</v>
      </c>
      <c r="DA92" s="9">
        <v>5834.8</v>
      </c>
      <c r="DB92" s="26">
        <f t="shared" si="36"/>
        <v>49.723212449441284</v>
      </c>
      <c r="DC92" s="30" t="s">
        <v>22</v>
      </c>
      <c r="DF92" s="52">
        <v>760</v>
      </c>
      <c r="DG92" s="38"/>
      <c r="DH92" s="36">
        <v>20489.900000000001</v>
      </c>
      <c r="DI92" s="53">
        <v>1353.5</v>
      </c>
      <c r="DJ92" s="53">
        <v>16387.5</v>
      </c>
      <c r="DK92" s="56">
        <f t="shared" si="37"/>
        <v>45.870327993897789</v>
      </c>
      <c r="DL92" s="30" t="s">
        <v>45</v>
      </c>
      <c r="DS92" s="50"/>
    </row>
    <row r="93" spans="101:123" x14ac:dyDescent="0.3">
      <c r="CX93" s="32"/>
      <c r="DF93" s="48"/>
      <c r="DG93" s="55"/>
      <c r="DH93" s="49"/>
      <c r="DI93" s="48"/>
      <c r="DJ93" s="48"/>
      <c r="DK93" s="48"/>
      <c r="DS93" s="50"/>
    </row>
    <row r="94" spans="101:123" x14ac:dyDescent="0.3">
      <c r="CX94" s="32"/>
      <c r="DF94" s="48"/>
      <c r="DG94" s="55"/>
      <c r="DH94" s="49"/>
      <c r="DI94" s="48"/>
      <c r="DJ94" s="48"/>
      <c r="DK94" s="48"/>
      <c r="DS94" s="50"/>
    </row>
    <row r="95" spans="101:123" x14ac:dyDescent="0.3">
      <c r="CX95" s="32"/>
      <c r="DF95" s="48"/>
      <c r="DG95" s="55"/>
      <c r="DH95" s="49"/>
      <c r="DI95" s="48"/>
      <c r="DJ95" s="48"/>
      <c r="DK95" s="48"/>
      <c r="DS95" s="50"/>
    </row>
    <row r="96" spans="101:123" x14ac:dyDescent="0.3">
      <c r="DF96" s="48"/>
      <c r="DG96" s="48"/>
      <c r="DH96" s="49"/>
      <c r="DI96" s="48"/>
      <c r="DJ96" s="48"/>
      <c r="DK96" s="48"/>
      <c r="DS96" s="50"/>
    </row>
    <row r="97" spans="101:123" x14ac:dyDescent="0.3">
      <c r="DF97" s="48"/>
      <c r="DG97" s="48"/>
      <c r="DH97" s="49"/>
      <c r="DI97" s="48"/>
      <c r="DJ97" s="48"/>
      <c r="DK97" s="48"/>
      <c r="DS97" s="50"/>
    </row>
    <row r="98" spans="101:123" ht="15" thickBot="1" x14ac:dyDescent="0.35">
      <c r="DF98" s="48"/>
      <c r="DG98" s="48"/>
      <c r="DH98" s="49"/>
      <c r="DI98" s="48"/>
      <c r="DJ98" s="48"/>
      <c r="DK98" s="48"/>
      <c r="DS98" s="50"/>
    </row>
    <row r="99" spans="101:123" x14ac:dyDescent="0.3">
      <c r="CW99" s="22">
        <v>741</v>
      </c>
      <c r="CX99" s="37" t="s">
        <v>106</v>
      </c>
      <c r="CY99" s="4">
        <v>15205.2</v>
      </c>
      <c r="CZ99" s="5">
        <v>644</v>
      </c>
      <c r="DA99" s="5">
        <v>13031.7</v>
      </c>
      <c r="DB99" s="6">
        <f t="shared" ref="DB99:DB108" si="38">((DA99-CZ99)/(2*DA99))*100</f>
        <v>47.529102112540954</v>
      </c>
      <c r="DC99" t="s">
        <v>10</v>
      </c>
      <c r="DF99" s="19">
        <v>751</v>
      </c>
      <c r="DG99" s="38" t="s">
        <v>106</v>
      </c>
      <c r="DH99" s="13">
        <v>21662.6</v>
      </c>
      <c r="DI99" s="11">
        <v>230.7</v>
      </c>
      <c r="DJ99" s="11">
        <v>16914.599999999999</v>
      </c>
      <c r="DK99" s="12">
        <f t="shared" ref="DK99:DK108" si="39">((DJ99-DI99)/(2*DJ99))*100</f>
        <v>49.31804476606009</v>
      </c>
      <c r="DL99" t="s">
        <v>10</v>
      </c>
      <c r="DS99" s="50"/>
    </row>
    <row r="100" spans="101:123" x14ac:dyDescent="0.3">
      <c r="CW100" s="20">
        <v>742</v>
      </c>
      <c r="CX100" s="38"/>
      <c r="CY100" s="3">
        <v>19759.2</v>
      </c>
      <c r="CZ100" s="2">
        <v>1662.5</v>
      </c>
      <c r="DA100" s="2">
        <v>18429.599999999999</v>
      </c>
      <c r="DB100" s="12">
        <f t="shared" si="38"/>
        <v>45.489592828927378</v>
      </c>
      <c r="DC100" s="30" t="s">
        <v>11</v>
      </c>
      <c r="DF100" s="20">
        <v>752</v>
      </c>
      <c r="DG100" s="38"/>
      <c r="DH100" s="13">
        <v>20119.599999999999</v>
      </c>
      <c r="DI100" s="11">
        <v>1934.7</v>
      </c>
      <c r="DJ100" s="11">
        <v>16890.900000000001</v>
      </c>
      <c r="DK100" s="12">
        <f t="shared" si="39"/>
        <v>44.272951707724282</v>
      </c>
      <c r="DL100" s="30" t="s">
        <v>11</v>
      </c>
      <c r="DS100" s="50"/>
    </row>
    <row r="101" spans="101:123" x14ac:dyDescent="0.3">
      <c r="CW101" s="19">
        <v>743</v>
      </c>
      <c r="CX101" s="38"/>
      <c r="CY101" s="3">
        <v>9524.7000000000007</v>
      </c>
      <c r="CZ101" s="2">
        <v>5797.2</v>
      </c>
      <c r="DA101" s="2">
        <v>11847.1</v>
      </c>
      <c r="DB101" s="12">
        <f t="shared" si="38"/>
        <v>25.533252863569988</v>
      </c>
      <c r="DC101" s="30" t="s">
        <v>12</v>
      </c>
      <c r="DF101" s="19">
        <v>753</v>
      </c>
      <c r="DG101" s="38"/>
      <c r="DH101" s="13">
        <v>14163.5</v>
      </c>
      <c r="DI101" s="11">
        <v>8750.2000000000007</v>
      </c>
      <c r="DJ101" s="11">
        <v>17788.8</v>
      </c>
      <c r="DK101" s="12">
        <f t="shared" si="39"/>
        <v>25.405311207051621</v>
      </c>
      <c r="DL101" s="30" t="s">
        <v>12</v>
      </c>
      <c r="DS101" s="50"/>
    </row>
    <row r="102" spans="101:123" x14ac:dyDescent="0.3">
      <c r="CW102" s="20">
        <v>744</v>
      </c>
      <c r="CX102" s="38"/>
      <c r="CY102" s="3">
        <v>3424.1</v>
      </c>
      <c r="CZ102" s="2">
        <v>13287.6</v>
      </c>
      <c r="DA102" s="2">
        <v>15496.5</v>
      </c>
      <c r="DB102" s="12">
        <f t="shared" si="38"/>
        <v>7.1270932145968429</v>
      </c>
      <c r="DC102" s="30" t="s">
        <v>13</v>
      </c>
      <c r="DF102" s="20">
        <v>754</v>
      </c>
      <c r="DG102" s="38"/>
      <c r="DH102" s="13">
        <v>3358.5</v>
      </c>
      <c r="DI102" s="11">
        <v>15698</v>
      </c>
      <c r="DJ102" s="11">
        <v>17707.8</v>
      </c>
      <c r="DK102" s="12">
        <f t="shared" si="39"/>
        <v>5.674900326409829</v>
      </c>
      <c r="DL102" s="30" t="s">
        <v>13</v>
      </c>
      <c r="DS102" s="50"/>
    </row>
    <row r="103" spans="101:123" x14ac:dyDescent="0.3">
      <c r="CW103" s="19">
        <v>745</v>
      </c>
      <c r="CX103" s="38"/>
      <c r="CY103" s="3">
        <v>10545.3</v>
      </c>
      <c r="CZ103" s="2">
        <v>48.1</v>
      </c>
      <c r="DA103" s="2">
        <v>7877.6</v>
      </c>
      <c r="DB103" s="12">
        <f t="shared" si="38"/>
        <v>49.694703970752514</v>
      </c>
      <c r="DC103" s="30" t="s">
        <v>14</v>
      </c>
      <c r="DF103" s="19">
        <v>755</v>
      </c>
      <c r="DG103" s="38"/>
      <c r="DH103" s="13">
        <v>20542.3</v>
      </c>
      <c r="DI103" s="11">
        <v>319.5</v>
      </c>
      <c r="DJ103" s="11">
        <v>17016.5</v>
      </c>
      <c r="DK103" s="12">
        <f t="shared" si="39"/>
        <v>49.06120530073752</v>
      </c>
      <c r="DL103" s="30" t="s">
        <v>80</v>
      </c>
      <c r="DS103" s="50"/>
    </row>
    <row r="104" spans="101:123" x14ac:dyDescent="0.3">
      <c r="CW104" s="20">
        <v>746</v>
      </c>
      <c r="CX104" s="38"/>
      <c r="CY104" s="3">
        <v>18457.3</v>
      </c>
      <c r="CZ104" s="2">
        <v>428.1</v>
      </c>
      <c r="DA104" s="2">
        <v>16434.8</v>
      </c>
      <c r="DB104" s="12">
        <f t="shared" si="38"/>
        <v>48.697580743300797</v>
      </c>
      <c r="DC104" s="30" t="s">
        <v>15</v>
      </c>
      <c r="DF104" s="20">
        <v>756</v>
      </c>
      <c r="DG104" s="38"/>
      <c r="DH104" s="13">
        <v>21093.3</v>
      </c>
      <c r="DI104" s="11">
        <v>1570.6</v>
      </c>
      <c r="DJ104" s="11">
        <v>17984.599999999999</v>
      </c>
      <c r="DK104" s="12">
        <f t="shared" si="39"/>
        <v>45.633486427276679</v>
      </c>
      <c r="DL104" s="30" t="s">
        <v>81</v>
      </c>
      <c r="DS104" s="50"/>
    </row>
    <row r="105" spans="101:123" x14ac:dyDescent="0.3">
      <c r="CW105" s="19">
        <v>747</v>
      </c>
      <c r="CX105" s="38"/>
      <c r="CY105" s="3">
        <v>20320</v>
      </c>
      <c r="CZ105" s="2">
        <v>1244.2</v>
      </c>
      <c r="DA105" s="2">
        <v>19835.900000000001</v>
      </c>
      <c r="DB105" s="12">
        <f t="shared" si="38"/>
        <v>46.8637672099577</v>
      </c>
      <c r="DC105" s="30" t="s">
        <v>16</v>
      </c>
      <c r="DF105" s="19">
        <v>757</v>
      </c>
      <c r="DG105" s="38"/>
      <c r="DH105" s="13">
        <v>18892.2</v>
      </c>
      <c r="DI105" s="11">
        <v>4085</v>
      </c>
      <c r="DJ105" s="11">
        <v>15419.9</v>
      </c>
      <c r="DK105" s="12">
        <f t="shared" si="39"/>
        <v>36.75412940421144</v>
      </c>
      <c r="DL105" s="30" t="s">
        <v>82</v>
      </c>
      <c r="DS105" s="50"/>
    </row>
    <row r="106" spans="101:123" x14ac:dyDescent="0.3">
      <c r="CW106" s="20">
        <v>748</v>
      </c>
      <c r="CX106" s="38"/>
      <c r="CY106" s="3">
        <v>14653.3</v>
      </c>
      <c r="CZ106" s="2">
        <v>80.2</v>
      </c>
      <c r="DA106" s="2">
        <v>10627.2</v>
      </c>
      <c r="DB106" s="12">
        <f t="shared" si="38"/>
        <v>49.62266636555254</v>
      </c>
      <c r="DC106" s="30" t="s">
        <v>23</v>
      </c>
      <c r="DF106" s="20">
        <v>758</v>
      </c>
      <c r="DG106" s="38"/>
      <c r="DH106" s="13">
        <v>21201.599999999999</v>
      </c>
      <c r="DI106" s="11">
        <v>334.5</v>
      </c>
      <c r="DJ106" s="11">
        <v>16864.7</v>
      </c>
      <c r="DK106" s="12">
        <f t="shared" si="39"/>
        <v>49.008283574566995</v>
      </c>
      <c r="DL106" s="30" t="s">
        <v>44</v>
      </c>
      <c r="DS106" s="50"/>
    </row>
    <row r="107" spans="101:123" x14ac:dyDescent="0.3">
      <c r="CW107" s="19">
        <v>749</v>
      </c>
      <c r="CX107" s="38"/>
      <c r="CY107" s="3">
        <v>15440.7</v>
      </c>
      <c r="CZ107" s="2">
        <v>29.4</v>
      </c>
      <c r="DA107" s="2">
        <v>11079.2</v>
      </c>
      <c r="DB107" s="12">
        <f t="shared" si="38"/>
        <v>49.86731893999567</v>
      </c>
      <c r="DC107" s="30" t="s">
        <v>21</v>
      </c>
      <c r="DF107" s="19">
        <v>759</v>
      </c>
      <c r="DG107" s="38"/>
      <c r="DH107" s="13">
        <v>21948.5</v>
      </c>
      <c r="DI107" s="11">
        <v>920.9</v>
      </c>
      <c r="DJ107" s="11">
        <v>17286.099999999999</v>
      </c>
      <c r="DK107" s="12">
        <f t="shared" si="39"/>
        <v>47.336299107375289</v>
      </c>
      <c r="DL107" s="30" t="s">
        <v>46</v>
      </c>
      <c r="DS107" s="50"/>
    </row>
    <row r="108" spans="101:123" ht="15" thickBot="1" x14ac:dyDescent="0.35">
      <c r="CW108" s="21">
        <v>750</v>
      </c>
      <c r="CX108" s="39"/>
      <c r="CY108" s="9">
        <v>12111.8</v>
      </c>
      <c r="CZ108" s="9">
        <v>0</v>
      </c>
      <c r="DA108" s="9">
        <v>7852.3</v>
      </c>
      <c r="DB108" s="26">
        <f t="shared" si="38"/>
        <v>50</v>
      </c>
      <c r="DC108" s="30" t="s">
        <v>22</v>
      </c>
      <c r="DF108" s="52">
        <v>760</v>
      </c>
      <c r="DG108" s="38"/>
      <c r="DH108" s="36">
        <v>21156</v>
      </c>
      <c r="DI108" s="53">
        <v>1441</v>
      </c>
      <c r="DJ108" s="53">
        <v>17052.400000000001</v>
      </c>
      <c r="DK108" s="56">
        <f t="shared" si="39"/>
        <v>45.774788299594192</v>
      </c>
      <c r="DL108" s="30" t="s">
        <v>45</v>
      </c>
      <c r="DS108" s="50"/>
    </row>
    <row r="109" spans="101:123" x14ac:dyDescent="0.3">
      <c r="CX109" s="32"/>
      <c r="DF109" s="48"/>
      <c r="DG109" s="55"/>
      <c r="DH109" s="49"/>
      <c r="DI109" s="48"/>
      <c r="DJ109" s="48"/>
      <c r="DK109" s="48"/>
      <c r="DS109" s="50"/>
    </row>
    <row r="110" spans="101:123" x14ac:dyDescent="0.3">
      <c r="CX110" s="32"/>
      <c r="DF110" s="48"/>
      <c r="DG110" s="55"/>
      <c r="DH110" s="49"/>
      <c r="DI110" s="48"/>
      <c r="DJ110" s="48"/>
      <c r="DK110" s="48"/>
      <c r="DS110" s="50"/>
    </row>
    <row r="111" spans="101:123" x14ac:dyDescent="0.3">
      <c r="CX111" s="32"/>
      <c r="DF111" s="48"/>
      <c r="DG111" s="55"/>
      <c r="DH111" s="49"/>
      <c r="DI111" s="48"/>
      <c r="DJ111" s="48"/>
      <c r="DK111" s="48"/>
      <c r="DS111" s="50"/>
    </row>
    <row r="112" spans="101:123" x14ac:dyDescent="0.3">
      <c r="DF112" s="48"/>
      <c r="DG112" s="48"/>
      <c r="DH112" s="49"/>
      <c r="DI112" s="48"/>
      <c r="DJ112" s="48"/>
      <c r="DK112" s="48"/>
      <c r="DS112" s="50"/>
    </row>
    <row r="113" spans="101:123" x14ac:dyDescent="0.3">
      <c r="DF113" s="48"/>
      <c r="DG113" s="48"/>
      <c r="DH113" s="49"/>
      <c r="DI113" s="48"/>
      <c r="DJ113" s="48"/>
      <c r="DK113" s="48"/>
      <c r="DS113" s="50"/>
    </row>
    <row r="114" spans="101:123" ht="15" thickBot="1" x14ac:dyDescent="0.35">
      <c r="DF114" s="48"/>
      <c r="DG114" s="48"/>
      <c r="DH114" s="49"/>
      <c r="DI114" s="48"/>
      <c r="DJ114" s="48"/>
      <c r="DK114" s="48"/>
      <c r="DS114" s="50"/>
    </row>
    <row r="115" spans="101:123" x14ac:dyDescent="0.3">
      <c r="CW115" s="22">
        <v>741</v>
      </c>
      <c r="CX115" s="37" t="s">
        <v>0</v>
      </c>
      <c r="CY115" s="4">
        <v>981.4</v>
      </c>
      <c r="CZ115" s="5">
        <v>41</v>
      </c>
      <c r="DA115" s="5">
        <v>773.4</v>
      </c>
      <c r="DB115" s="6">
        <f t="shared" ref="DB115:DB124" si="40">((DA115-CZ115)/(2*DA115))*100</f>
        <v>47.349366433928111</v>
      </c>
      <c r="DC115" t="s">
        <v>10</v>
      </c>
      <c r="DF115" s="19">
        <v>751</v>
      </c>
      <c r="DG115" s="38" t="s">
        <v>0</v>
      </c>
      <c r="DH115" s="13">
        <v>22004.799999999999</v>
      </c>
      <c r="DI115" s="11">
        <v>163.1</v>
      </c>
      <c r="DJ115" s="11">
        <v>16587</v>
      </c>
      <c r="DK115" s="12">
        <f t="shared" ref="DK115:DK124" si="41">((DJ115-DI115)/(2*DJ115))*100</f>
        <v>49.508349912582148</v>
      </c>
      <c r="DL115" t="s">
        <v>10</v>
      </c>
      <c r="DS115" s="50"/>
    </row>
    <row r="116" spans="101:123" x14ac:dyDescent="0.3">
      <c r="CW116" s="20">
        <v>742</v>
      </c>
      <c r="CX116" s="38"/>
      <c r="CY116" s="3">
        <v>13190.4</v>
      </c>
      <c r="CZ116" s="2">
        <v>861.3</v>
      </c>
      <c r="DA116" s="2">
        <v>10145.9</v>
      </c>
      <c r="DB116" s="12">
        <f t="shared" si="40"/>
        <v>45.755428301087143</v>
      </c>
      <c r="DC116" s="30" t="s">
        <v>11</v>
      </c>
      <c r="DF116" s="20">
        <v>752</v>
      </c>
      <c r="DG116" s="38"/>
      <c r="DH116" s="13">
        <v>20085.7</v>
      </c>
      <c r="DI116" s="11">
        <v>1711.1</v>
      </c>
      <c r="DJ116" s="11">
        <v>17140.8</v>
      </c>
      <c r="DK116" s="12">
        <f t="shared" si="41"/>
        <v>45.008692709791845</v>
      </c>
      <c r="DL116" s="30" t="s">
        <v>11</v>
      </c>
      <c r="DS116" s="50"/>
    </row>
    <row r="117" spans="101:123" x14ac:dyDescent="0.3">
      <c r="CW117" s="19">
        <v>743</v>
      </c>
      <c r="CX117" s="38"/>
      <c r="CY117" s="3">
        <v>6596.9</v>
      </c>
      <c r="CZ117" s="2">
        <v>4045.6</v>
      </c>
      <c r="DA117" s="2">
        <v>8353.5</v>
      </c>
      <c r="DB117" s="12">
        <f t="shared" si="40"/>
        <v>25.785000299275751</v>
      </c>
      <c r="DC117" s="30" t="s">
        <v>12</v>
      </c>
      <c r="DF117" s="19">
        <v>753</v>
      </c>
      <c r="DG117" s="38"/>
      <c r="DH117" s="13">
        <v>13828.3</v>
      </c>
      <c r="DI117" s="11">
        <v>8117.3</v>
      </c>
      <c r="DJ117" s="11">
        <v>16917.400000000001</v>
      </c>
      <c r="DK117" s="12">
        <f t="shared" si="41"/>
        <v>26.009020298627455</v>
      </c>
      <c r="DL117" s="30" t="s">
        <v>12</v>
      </c>
      <c r="DS117" s="50"/>
    </row>
    <row r="118" spans="101:123" x14ac:dyDescent="0.3">
      <c r="CW118" s="20">
        <v>744</v>
      </c>
      <c r="CX118" s="38"/>
      <c r="CY118" s="3">
        <v>3833.3</v>
      </c>
      <c r="CZ118" s="2">
        <v>15572.4</v>
      </c>
      <c r="DA118" s="2">
        <v>18254.400000000001</v>
      </c>
      <c r="DB118" s="12">
        <f t="shared" si="40"/>
        <v>7.3461740731001886</v>
      </c>
      <c r="DC118" s="30" t="s">
        <v>13</v>
      </c>
      <c r="DF118" s="20">
        <v>754</v>
      </c>
      <c r="DG118" s="38"/>
      <c r="DH118" s="13">
        <v>3415.2</v>
      </c>
      <c r="DI118" s="11">
        <v>15306.3</v>
      </c>
      <c r="DJ118" s="11">
        <v>17180.400000000001</v>
      </c>
      <c r="DK118" s="12">
        <f t="shared" si="41"/>
        <v>5.4541803450443584</v>
      </c>
      <c r="DL118" s="30" t="s">
        <v>13</v>
      </c>
      <c r="DS118" s="50"/>
    </row>
    <row r="119" spans="101:123" x14ac:dyDescent="0.3">
      <c r="CW119" s="19">
        <v>745</v>
      </c>
      <c r="CX119" s="38"/>
      <c r="CY119" s="3">
        <v>15898.7</v>
      </c>
      <c r="CZ119" s="2">
        <v>106.1</v>
      </c>
      <c r="DA119" s="2">
        <v>13211.6</v>
      </c>
      <c r="DB119" s="12">
        <f t="shared" si="40"/>
        <v>49.598458930031178</v>
      </c>
      <c r="DC119" s="30" t="s">
        <v>14</v>
      </c>
      <c r="DF119" s="19">
        <v>755</v>
      </c>
      <c r="DG119" s="38"/>
      <c r="DH119" s="13">
        <v>20914.099999999999</v>
      </c>
      <c r="DI119" s="11">
        <v>348.4</v>
      </c>
      <c r="DJ119" s="11">
        <v>18867.3</v>
      </c>
      <c r="DK119" s="12">
        <f t="shared" si="41"/>
        <v>49.076709439082428</v>
      </c>
      <c r="DL119" s="30" t="s">
        <v>80</v>
      </c>
      <c r="DS119" s="50"/>
    </row>
    <row r="120" spans="101:123" x14ac:dyDescent="0.3">
      <c r="CW120" s="20">
        <v>746</v>
      </c>
      <c r="CX120" s="38"/>
      <c r="CY120" s="3">
        <v>21095.599999999999</v>
      </c>
      <c r="CZ120" s="2">
        <v>523.79999999999995</v>
      </c>
      <c r="DA120" s="2">
        <v>21776.400000000001</v>
      </c>
      <c r="DB120" s="12">
        <f t="shared" si="40"/>
        <v>48.797321871383701</v>
      </c>
      <c r="DC120" s="30" t="s">
        <v>15</v>
      </c>
      <c r="DF120" s="20">
        <v>756</v>
      </c>
      <c r="DG120" s="38"/>
      <c r="DH120" s="13">
        <v>20401.900000000001</v>
      </c>
      <c r="DI120" s="11">
        <v>1355.8</v>
      </c>
      <c r="DJ120" s="11">
        <v>16720.599999999999</v>
      </c>
      <c r="DK120" s="12">
        <f t="shared" si="41"/>
        <v>45.945719651208691</v>
      </c>
      <c r="DL120" s="30" t="s">
        <v>81</v>
      </c>
      <c r="DS120" s="50"/>
    </row>
    <row r="121" spans="101:123" x14ac:dyDescent="0.3">
      <c r="CW121" s="19">
        <v>747</v>
      </c>
      <c r="CX121" s="38"/>
      <c r="CY121" s="3">
        <v>15552.5</v>
      </c>
      <c r="CZ121" s="2">
        <v>882.7</v>
      </c>
      <c r="DA121" s="2">
        <v>14431.2</v>
      </c>
      <c r="DB121" s="12">
        <f t="shared" si="40"/>
        <v>46.941695770275508</v>
      </c>
      <c r="DC121" s="30" t="s">
        <v>16</v>
      </c>
      <c r="DF121" s="19">
        <v>757</v>
      </c>
      <c r="DG121" s="38"/>
      <c r="DH121" s="13">
        <v>17908.400000000001</v>
      </c>
      <c r="DI121" s="11">
        <v>5073.8</v>
      </c>
      <c r="DJ121" s="11">
        <v>19102</v>
      </c>
      <c r="DK121" s="12">
        <f t="shared" si="41"/>
        <v>36.71919170767459</v>
      </c>
      <c r="DL121" s="30" t="s">
        <v>82</v>
      </c>
      <c r="DS121" s="50"/>
    </row>
    <row r="122" spans="101:123" x14ac:dyDescent="0.3">
      <c r="CW122" s="20">
        <v>748</v>
      </c>
      <c r="CX122" s="38"/>
      <c r="CY122" s="3">
        <v>17548.400000000001</v>
      </c>
      <c r="CZ122" s="2">
        <v>73.900000000000006</v>
      </c>
      <c r="DA122" s="2">
        <v>14334.2</v>
      </c>
      <c r="DB122" s="12">
        <f t="shared" si="40"/>
        <v>49.742224888727662</v>
      </c>
      <c r="DC122" s="30" t="s">
        <v>23</v>
      </c>
      <c r="DF122" s="20">
        <v>758</v>
      </c>
      <c r="DG122" s="38"/>
      <c r="DH122" s="13">
        <v>21005.4</v>
      </c>
      <c r="DI122" s="11">
        <v>295.3</v>
      </c>
      <c r="DJ122" s="11">
        <v>17275.3</v>
      </c>
      <c r="DK122" s="12">
        <f t="shared" si="41"/>
        <v>49.145311514127108</v>
      </c>
      <c r="DL122" s="30" t="s">
        <v>44</v>
      </c>
      <c r="DS122" s="50"/>
    </row>
    <row r="123" spans="101:123" x14ac:dyDescent="0.3">
      <c r="CW123" s="19">
        <v>749</v>
      </c>
      <c r="CX123" s="38"/>
      <c r="CY123" s="3">
        <v>19716.099999999999</v>
      </c>
      <c r="CZ123" s="2">
        <v>0</v>
      </c>
      <c r="DA123" s="2">
        <v>16299.4</v>
      </c>
      <c r="DB123" s="12">
        <f t="shared" si="40"/>
        <v>50</v>
      </c>
      <c r="DC123" s="30" t="s">
        <v>21</v>
      </c>
      <c r="DF123" s="19">
        <v>759</v>
      </c>
      <c r="DG123" s="38"/>
      <c r="DH123" s="13">
        <v>21230.9</v>
      </c>
      <c r="DI123" s="11">
        <v>798.5</v>
      </c>
      <c r="DJ123" s="11">
        <v>17613.099999999999</v>
      </c>
      <c r="DK123" s="12">
        <f t="shared" si="41"/>
        <v>47.733221295512998</v>
      </c>
      <c r="DL123" s="30" t="s">
        <v>46</v>
      </c>
      <c r="DS123" s="50"/>
    </row>
    <row r="124" spans="101:123" ht="15" thickBot="1" x14ac:dyDescent="0.35">
      <c r="CW124" s="21">
        <v>750</v>
      </c>
      <c r="CX124" s="39"/>
      <c r="CY124" s="9">
        <v>18509.5</v>
      </c>
      <c r="CZ124" s="9">
        <v>60.6</v>
      </c>
      <c r="DA124" s="9">
        <v>13712.7</v>
      </c>
      <c r="DB124" s="26">
        <f t="shared" si="40"/>
        <v>49.779036951147475</v>
      </c>
      <c r="DC124" s="30" t="s">
        <v>22</v>
      </c>
      <c r="DF124" s="21">
        <v>760</v>
      </c>
      <c r="DG124" s="39"/>
      <c r="DH124" s="13">
        <v>21012.2</v>
      </c>
      <c r="DI124" s="11">
        <v>1355</v>
      </c>
      <c r="DJ124" s="11">
        <v>17271.400000000001</v>
      </c>
      <c r="DK124" s="26">
        <f t="shared" si="41"/>
        <v>46.077330152738057</v>
      </c>
      <c r="DL124" s="30" t="s">
        <v>45</v>
      </c>
      <c r="DS124" s="50"/>
    </row>
    <row r="125" spans="101:123" x14ac:dyDescent="0.3">
      <c r="CX125" s="32"/>
      <c r="DS125" s="50"/>
    </row>
    <row r="126" spans="101:123" x14ac:dyDescent="0.3">
      <c r="CX126" s="32"/>
      <c r="DS126" s="50"/>
    </row>
    <row r="127" spans="101:123" x14ac:dyDescent="0.3">
      <c r="CX127" s="32"/>
      <c r="DS127" s="50"/>
    </row>
  </sheetData>
  <mergeCells count="82">
    <mergeCell ref="DG67:DG76"/>
    <mergeCell ref="DG83:DG92"/>
    <mergeCell ref="DG99:DG108"/>
    <mergeCell ref="DG115:DG124"/>
    <mergeCell ref="DF1:DK1"/>
    <mergeCell ref="DG3:DG12"/>
    <mergeCell ref="DG19:DG28"/>
    <mergeCell ref="DG35:DG44"/>
    <mergeCell ref="DG51:DG60"/>
    <mergeCell ref="BN51:BN63"/>
    <mergeCell ref="CX3:CX12"/>
    <mergeCell ref="CX19:CX28"/>
    <mergeCell ref="CX35:CX44"/>
    <mergeCell ref="CX51:CX60"/>
    <mergeCell ref="CO3:CO16"/>
    <mergeCell ref="CO51:CO64"/>
    <mergeCell ref="CO35:CO48"/>
    <mergeCell ref="CO19:CO32"/>
    <mergeCell ref="CE1:CJ1"/>
    <mergeCell ref="CF3:CF15"/>
    <mergeCell ref="CF19:CF31"/>
    <mergeCell ref="CF35:CF47"/>
    <mergeCell ref="BM1:BR1"/>
    <mergeCell ref="BN3:BN15"/>
    <mergeCell ref="BN19:BN31"/>
    <mergeCell ref="BN35:BN47"/>
    <mergeCell ref="BV1:CA1"/>
    <mergeCell ref="BW3:BW15"/>
    <mergeCell ref="BD1:BI1"/>
    <mergeCell ref="BE3:BE15"/>
    <mergeCell ref="BE19:BE31"/>
    <mergeCell ref="BW19:BW31"/>
    <mergeCell ref="BE35:BE47"/>
    <mergeCell ref="BE51:BE63"/>
    <mergeCell ref="B1:G1"/>
    <mergeCell ref="L51:L60"/>
    <mergeCell ref="C3:C12"/>
    <mergeCell ref="C15:C24"/>
    <mergeCell ref="C27:C36"/>
    <mergeCell ref="C39:C48"/>
    <mergeCell ref="C51:C60"/>
    <mergeCell ref="K1:P1"/>
    <mergeCell ref="L3:L12"/>
    <mergeCell ref="L15:L24"/>
    <mergeCell ref="L27:L36"/>
    <mergeCell ref="L39:L48"/>
    <mergeCell ref="U39:U47"/>
    <mergeCell ref="U51:U59"/>
    <mergeCell ref="AD51:AD59"/>
    <mergeCell ref="U3:U11"/>
    <mergeCell ref="T1:Y1"/>
    <mergeCell ref="U15:U23"/>
    <mergeCell ref="U27:U35"/>
    <mergeCell ref="AC1:AH1"/>
    <mergeCell ref="AD3:AD11"/>
    <mergeCell ref="AD15:AD23"/>
    <mergeCell ref="AD27:AD35"/>
    <mergeCell ref="AD39:AD47"/>
    <mergeCell ref="AV19:AV31"/>
    <mergeCell ref="AV35:AV47"/>
    <mergeCell ref="AV51:AV63"/>
    <mergeCell ref="AL1:AQ1"/>
    <mergeCell ref="AM3:AM15"/>
    <mergeCell ref="AM19:AM31"/>
    <mergeCell ref="AM35:AM47"/>
    <mergeCell ref="AM51:AM63"/>
    <mergeCell ref="CX99:CX108"/>
    <mergeCell ref="CX115:CX124"/>
    <mergeCell ref="AJ6:AJ8"/>
    <mergeCell ref="CW1:DB1"/>
    <mergeCell ref="CN1:CS1"/>
    <mergeCell ref="CX67:CX76"/>
    <mergeCell ref="CX83:CX92"/>
    <mergeCell ref="BW35:BW47"/>
    <mergeCell ref="BW51:BW63"/>
    <mergeCell ref="BK7:BK12"/>
    <mergeCell ref="CC7:CC12"/>
    <mergeCell ref="CL13:CL15"/>
    <mergeCell ref="CL11:CL12"/>
    <mergeCell ref="AM67:AM79"/>
    <mergeCell ref="AU1:AZ1"/>
    <mergeCell ref="AV3:AV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2023-12-08T19:28:38Z</dcterms:modified>
</cp:coreProperties>
</file>